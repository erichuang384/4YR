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h\OneDrive\Documents\Y4\4YR\Optimization Results\"/>
    </mc:Choice>
  </mc:AlternateContent>
  <xr:revisionPtr revIDLastSave="0" documentId="13_ncr:1_{8723CAF0-A83B-428C-8B3D-97C242F7A008}" xr6:coauthVersionLast="47" xr6:coauthVersionMax="47" xr10:uidLastSave="{00000000-0000-0000-0000-000000000000}"/>
  <bookViews>
    <workbookView xWindow="-110" yWindow="-110" windowWidth="19420" windowHeight="10420" activeTab="2" xr2:uid="{88A93044-632C-4EB3-AA7B-B27E1E261106}"/>
  </bookViews>
  <sheets>
    <sheet name="Sheet1" sheetId="1" r:id="rId1"/>
    <sheet name="Lotgering" sheetId="2" r:id="rId2"/>
    <sheet name="Sheet2" sheetId="3" r:id="rId3"/>
    <sheet name="BellLot" sheetId="5" r:id="rId4"/>
    <sheet name="Branched Alkan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3" i="3" l="1"/>
  <c r="AJ43" i="3"/>
  <c r="W2" i="5"/>
  <c r="X2" i="5" s="1"/>
  <c r="AI37" i="3"/>
  <c r="AJ37" i="3"/>
  <c r="AI35" i="3"/>
  <c r="AJ35" i="3"/>
  <c r="AI33" i="3"/>
  <c r="AJ33" i="3"/>
  <c r="AJ24" i="3" l="1"/>
  <c r="AI25" i="3"/>
  <c r="AJ25" i="3"/>
  <c r="AI23" i="3"/>
  <c r="AJ23" i="3"/>
  <c r="G72" i="3"/>
  <c r="H70" i="3"/>
  <c r="H71" i="3"/>
  <c r="AI5" i="3"/>
  <c r="AI7" i="3"/>
  <c r="AI2" i="3"/>
  <c r="AJ3" i="3"/>
  <c r="AJ4" i="3"/>
  <c r="AJ5" i="3"/>
  <c r="AJ6" i="3"/>
  <c r="AJ7" i="3"/>
  <c r="AJ2" i="3"/>
  <c r="G2" i="3"/>
  <c r="D2" i="3"/>
  <c r="G21" i="1"/>
  <c r="K21" i="1" s="1"/>
  <c r="G22" i="1"/>
  <c r="K22" i="1" s="1"/>
  <c r="G23" i="1"/>
  <c r="K23" i="1" s="1"/>
  <c r="G24" i="1"/>
  <c r="K24" i="1" s="1"/>
  <c r="G25" i="1"/>
  <c r="K25" i="1" s="1"/>
  <c r="D12" i="1"/>
  <c r="D13" i="1"/>
  <c r="D14" i="1"/>
  <c r="F29" i="1"/>
  <c r="I29" i="1" s="1"/>
  <c r="F30" i="1"/>
  <c r="I30" i="1" s="1"/>
  <c r="F31" i="1"/>
  <c r="I31" i="1" s="1"/>
  <c r="F32" i="1"/>
  <c r="I32" i="1" s="1"/>
  <c r="F33" i="1"/>
  <c r="I33" i="1" s="1"/>
  <c r="E29" i="1"/>
  <c r="H29" i="1" s="1"/>
  <c r="G39" i="1"/>
  <c r="G38" i="1"/>
  <c r="G37" i="1"/>
  <c r="D53" i="1"/>
  <c r="E53" i="1"/>
  <c r="C53" i="1"/>
  <c r="D51" i="1"/>
  <c r="E51" i="1"/>
  <c r="G36" i="1"/>
  <c r="E31" i="1"/>
  <c r="H31" i="1" s="1"/>
  <c r="E30" i="1"/>
  <c r="H30" i="1" s="1"/>
  <c r="E32" i="1"/>
  <c r="H32" i="1" s="1"/>
  <c r="E33" i="1"/>
  <c r="H33" i="1" s="1"/>
  <c r="C51" i="1"/>
  <c r="D10" i="1"/>
  <c r="D11" i="1"/>
  <c r="E50" i="1"/>
  <c r="D50" i="1"/>
  <c r="C50" i="1"/>
  <c r="C49" i="1"/>
  <c r="D49" i="1"/>
  <c r="E49" i="1"/>
  <c r="D9" i="1"/>
  <c r="F22" i="1"/>
  <c r="J22" i="1" s="1"/>
  <c r="F23" i="1"/>
  <c r="J23" i="1" s="1"/>
  <c r="F24" i="1"/>
  <c r="J24" i="1" s="1"/>
  <c r="F25" i="1"/>
  <c r="J25" i="1" s="1"/>
  <c r="F21" i="1"/>
  <c r="J21" i="1" s="1"/>
  <c r="E22" i="1"/>
  <c r="I22" i="1" s="1"/>
  <c r="E23" i="1"/>
  <c r="I23" i="1" s="1"/>
  <c r="E24" i="1"/>
  <c r="I24" i="1" s="1"/>
  <c r="E25" i="1"/>
  <c r="I25" i="1" s="1"/>
  <c r="E21" i="1"/>
  <c r="I21" i="1" s="1"/>
  <c r="K26" i="1" l="1"/>
  <c r="G40" i="1"/>
  <c r="H35" i="1" s="1"/>
  <c r="I26" i="1"/>
  <c r="J26" i="1"/>
  <c r="H37" i="1" l="1"/>
  <c r="H38" i="1"/>
  <c r="H36" i="1"/>
  <c r="H39" i="1"/>
  <c r="H40" i="1" l="1"/>
</calcChain>
</file>

<file path=xl/sharedStrings.xml><?xml version="1.0" encoding="utf-8"?>
<sst xmlns="http://schemas.openxmlformats.org/spreadsheetml/2006/main" count="241" uniqueCount="107">
  <si>
    <t>Ethane</t>
  </si>
  <si>
    <t>CH3</t>
  </si>
  <si>
    <t>Fluids Trained on</t>
  </si>
  <si>
    <t>Groups Optimized</t>
  </si>
  <si>
    <t>Pure Fluid</t>
  </si>
  <si>
    <t>C8, C10, C12, C14, C16</t>
  </si>
  <si>
    <t>"CH3","CH2"</t>
  </si>
  <si>
    <t>Fluid</t>
  </si>
  <si>
    <t>CH2</t>
  </si>
  <si>
    <t>Pure</t>
  </si>
  <si>
    <t>Octane</t>
  </si>
  <si>
    <t>Decane</t>
  </si>
  <si>
    <t>Dodecane</t>
  </si>
  <si>
    <t>Tetradecane</t>
  </si>
  <si>
    <t>Hexadecane</t>
  </si>
  <si>
    <t>Difference</t>
  </si>
  <si>
    <t>N points</t>
  </si>
  <si>
    <t>N used</t>
  </si>
  <si>
    <t>Note</t>
  </si>
  <si>
    <t>Equally Weighted</t>
  </si>
  <si>
    <t>Added all errors, biased on higher data points</t>
  </si>
  <si>
    <t>GCM 1</t>
  </si>
  <si>
    <t>GCM 2</t>
  </si>
  <si>
    <t>0.476193*</t>
  </si>
  <si>
    <t>CH3 from pure Ethane</t>
  </si>
  <si>
    <t>Benzene</t>
  </si>
  <si>
    <t>aCH</t>
  </si>
  <si>
    <t>Value</t>
  </si>
  <si>
    <t>Value2</t>
  </si>
  <si>
    <t>Group</t>
  </si>
  <si>
    <t>n1</t>
  </si>
  <si>
    <t>n2</t>
  </si>
  <si>
    <t>n3</t>
  </si>
  <si>
    <t>Global</t>
  </si>
  <si>
    <t>aCH 3param</t>
  </si>
  <si>
    <t>AAD optimized</t>
  </si>
  <si>
    <t>MSE</t>
  </si>
  <si>
    <t>No group 2</t>
  </si>
  <si>
    <t>New global, MSE</t>
  </si>
  <si>
    <t>AAD squared</t>
  </si>
  <si>
    <t>AAD</t>
  </si>
  <si>
    <t>AAD train</t>
  </si>
  <si>
    <t>AAD 1bar</t>
  </si>
  <si>
    <t>Model</t>
  </si>
  <si>
    <t>4 param</t>
  </si>
  <si>
    <t>3 param</t>
  </si>
  <si>
    <t>No group 2,8</t>
  </si>
  <si>
    <t>Column1</t>
  </si>
  <si>
    <t>4 Param</t>
  </si>
  <si>
    <t>3 Param</t>
  </si>
  <si>
    <t>Mean</t>
  </si>
  <si>
    <t>Difference 2</t>
  </si>
  <si>
    <t>GCM 3</t>
  </si>
  <si>
    <t>Difference 3</t>
  </si>
  <si>
    <t>a</t>
  </si>
  <si>
    <t>b</t>
  </si>
  <si>
    <t>c</t>
  </si>
  <si>
    <t>Cyclopentane, Cyclohexane</t>
  </si>
  <si>
    <t>cCH2</t>
  </si>
  <si>
    <t>0.148908 for no T</t>
  </si>
  <si>
    <t>Cyclohexane</t>
  </si>
  <si>
    <t>Cyclopentane</t>
  </si>
  <si>
    <t>ng3</t>
  </si>
  <si>
    <t>exponent</t>
  </si>
  <si>
    <t>(1-ln(T))</t>
  </si>
  <si>
    <t>T CH3</t>
  </si>
  <si>
    <t>T CH2</t>
  </si>
  <si>
    <t>f</t>
  </si>
  <si>
    <t>1-T</t>
  </si>
  <si>
    <t>In VS</t>
  </si>
  <si>
    <t>IN JULIA</t>
  </si>
  <si>
    <t>Max</t>
  </si>
  <si>
    <t>Separate T</t>
  </si>
  <si>
    <t>VS</t>
  </si>
  <si>
    <t>1+c(T/TC)</t>
  </si>
  <si>
    <t>1-Xln(T)</t>
  </si>
  <si>
    <t>C in front</t>
  </si>
  <si>
    <t>C not 1</t>
  </si>
  <si>
    <t>Value Constant</t>
  </si>
  <si>
    <t>1/C</t>
  </si>
  <si>
    <t>[0.7967156548650978, -0.26998738623127144, 0.029674782148938414]</t>
  </si>
  <si>
    <t>[ 1.5, 2.1, 2.7]</t>
  </si>
  <si>
    <t>0.7081113071031407, -0.2506396131731235, 0.029855992324092917</t>
  </si>
  <si>
    <t>0.7478939661203835, -0.2649284354192793, 0.031123786073050424</t>
  </si>
  <si>
    <t>Hexane</t>
  </si>
  <si>
    <t xml:space="preserve"> 0.6413367923168263, -0.2205683628271185, 0.02612208898198096</t>
  </si>
  <si>
    <t>Butane</t>
  </si>
  <si>
    <t>C</t>
  </si>
  <si>
    <t>e1</t>
  </si>
  <si>
    <t>e2</t>
  </si>
  <si>
    <t>e3</t>
  </si>
  <si>
    <t>A</t>
  </si>
  <si>
    <t>B</t>
  </si>
  <si>
    <t>Equation</t>
  </si>
  <si>
    <t>AB^T, same exponents</t>
  </si>
  <si>
    <t>log(AB^T)+</t>
  </si>
  <si>
    <t>Original Equation</t>
  </si>
  <si>
    <t>TRY THIS WITH TEMP T</t>
  </si>
  <si>
    <t>n4</t>
  </si>
  <si>
    <t>C/xi +</t>
  </si>
  <si>
    <t>gamma</t>
  </si>
  <si>
    <t>D</t>
  </si>
  <si>
    <t>s_red = ((-s_res ./ R) ^ gamma) ./ log(T)</t>
  </si>
  <si>
    <t>CH</t>
  </si>
  <si>
    <t>Column2</t>
  </si>
  <si>
    <t>Train CH C separate, no squalane</t>
  </si>
  <si>
    <t>Train CH C together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</si>
</sst>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"/>
      <color rgb="FF6A9955"/>
      <name val="Consolas"/>
      <family val="3"/>
    </font>
    <font>
      <sz val="14"/>
      <name val="Consolas"/>
      <family val="3"/>
    </font>
    <font>
      <sz val="7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11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383679</xdr:colOff>
      <xdr:row>0</xdr:row>
      <xdr:rowOff>0</xdr:rowOff>
    </xdr:from>
    <xdr:to>
      <xdr:col>19</xdr:col>
      <xdr:colOff>436808</xdr:colOff>
      <xdr:row>8</xdr:row>
      <xdr:rowOff>110888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4E9C6B-044A-D334-3535-7396AB4D6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24020" y="0"/>
          <a:ext cx="6165004" cy="16117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5A66F0-5CDE-4693-B5EB-030664FECFD0}" name="Table1" displayName="Table1" ref="A1:I14" totalsRowShown="0">
  <autoFilter ref="A1:I14" xr:uid="{F95A66F0-5CDE-4693-B5EB-030664FECFD0}"/>
  <tableColumns count="9">
    <tableColumn id="1" xr3:uid="{B5E4B7B6-9362-4246-A88E-8F05B57FFD0E}" name="Fluids Trained on"/>
    <tableColumn id="9" xr3:uid="{00BD8D30-14FD-47A3-91E5-AC8711A8B7B9}" name="Model"/>
    <tableColumn id="2" xr3:uid="{ED3A6FB9-0462-4578-ADC0-906C39D36AAB}" name="Groups Optimized"/>
    <tableColumn id="3" xr3:uid="{61A81279-1319-4729-B6FA-FD4A4B773FE9}" name="Value"/>
    <tableColumn id="4" xr3:uid="{4AC1DFD0-F678-40E1-AB6D-7FB19A2D0A8C}" name="Value2"/>
    <tableColumn id="5" xr3:uid="{A481CB18-AF86-451C-AFCD-840CABF857ED}" name="Pure Fluid"/>
    <tableColumn id="6" xr3:uid="{DCA15683-D340-4F99-8D6E-C1E9BD8F6EFF}" name="Note"/>
    <tableColumn id="7" xr3:uid="{50E4D9CE-6185-4EB6-BDC4-835B18DA7F1A}" name="AAD train"/>
    <tableColumn id="8" xr3:uid="{05F19A85-DE21-44A6-B0DC-B7ADF6DBC933}" name="AAD 1b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C54D7D-C641-4A51-B68D-3600ED94239A}" name="Table4" displayName="Table4" ref="A20:M26" totalsRowCount="1">
  <autoFilter ref="A20:M25" xr:uid="{0AC54D7D-C641-4A51-B68D-3600ED94239A}"/>
  <tableColumns count="13">
    <tableColumn id="1" xr3:uid="{F9490CCF-DB4F-4025-9539-3FBA42B8BB7F}" name="Fluid"/>
    <tableColumn id="2" xr3:uid="{5CE0F296-91A8-4EF8-AC13-595441C52252}" name="Column1"/>
    <tableColumn id="3" xr3:uid="{68CC88F9-7D98-4AA4-9785-E275D013AA5E}" name="CH3"/>
    <tableColumn id="4" xr3:uid="{52B161C5-D0CD-475C-8017-CF737692795C}" name="CH2"/>
    <tableColumn id="5" xr3:uid="{AFEE3996-D216-4741-8A45-41FFA82390E4}" name="GCM 1">
      <calculatedColumnFormula>C21*$D$3+D21*$E$3</calculatedColumnFormula>
    </tableColumn>
    <tableColumn id="6" xr3:uid="{32AF83E8-914D-494C-AC49-87DA2A6881F5}" name="GCM 2">
      <calculatedColumnFormula>C21*$D$4+D21*$E$4</calculatedColumnFormula>
    </tableColumn>
    <tableColumn id="12" xr3:uid="{E2A4A0D4-8AC3-4A36-9CA8-6647FAD0283F}" name="GCM 3" dataDxfId="14" totalsRowDxfId="13">
      <calculatedColumnFormula>Table4[[#This Row],[CH3]]*$D$2+Table4[[#This Row],[CH2]]*$E$5</calculatedColumnFormula>
    </tableColumn>
    <tableColumn id="7" xr3:uid="{2D171608-E864-4101-99C3-32D2EE2A54DC}" name="Pure"/>
    <tableColumn id="8" xr3:uid="{ED7085C9-F955-4B3C-9E38-073F175CE503}" name="Difference" totalsRowFunction="custom" dataDxfId="12" totalsRowDxfId="11">
      <calculatedColumnFormula>ABS(H21-E21)/H21*100</calculatedColumnFormula>
      <totalsRowFormula>AVERAGE(I21:I25)</totalsRowFormula>
    </tableColumn>
    <tableColumn id="9" xr3:uid="{2BD36278-E2C6-4497-8026-16728A2C6AB0}" name="Difference 2" totalsRowFunction="custom" dataDxfId="10" totalsRowDxfId="9">
      <calculatedColumnFormula>ABS(H21-F21)/H21*100</calculatedColumnFormula>
      <totalsRowFormula>AVERAGE(J21:J25)</totalsRowFormula>
    </tableColumn>
    <tableColumn id="14" xr3:uid="{5422C88A-2CF1-4A8A-AE7C-056F23DBEC58}" name="Difference 3" totalsRowFunction="custom" dataDxfId="8" totalsRowDxfId="7">
      <calculatedColumnFormula>ABS(H21-G21)/H21*100</calculatedColumnFormula>
      <totalsRowFormula>AVERAGE(K21:K25)</totalsRowFormula>
    </tableColumn>
    <tableColumn id="10" xr3:uid="{9D597197-681A-4EE9-B21B-A915E6EF771F}" name="N points"/>
    <tableColumn id="11" xr3:uid="{9EC3DDDE-09CE-4C98-966F-02183251925B}" name="N us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773D0A-EA6C-4665-8CCB-0EC7752FAEEB}" name="Table48" displayName="Table48" ref="A28:K33" totalsRowShown="0">
  <autoFilter ref="A28:K33" xr:uid="{44773D0A-EA6C-4665-8CCB-0EC7752FAEEB}"/>
  <tableColumns count="11">
    <tableColumn id="1" xr3:uid="{D7B3CCCA-24EA-40B3-8FB8-3F79941F7067}" name="Fluid"/>
    <tableColumn id="2" xr3:uid="{49C412A1-028A-4F0F-A593-3100F6A78A91}" name="Column1"/>
    <tableColumn id="3" xr3:uid="{F69727FB-DD64-48AD-8706-34EB7BD91D35}" name="CH3"/>
    <tableColumn id="4" xr3:uid="{37A5195A-E5CC-40B2-9108-3274C7C6D071}" name="CH2"/>
    <tableColumn id="5" xr3:uid="{4A63C5F1-23E6-4C05-A339-D14F58329BA4}" name="GCM 1" dataDxfId="6">
      <calculatedColumnFormula>C29*$D$6+D29*$E$6</calculatedColumnFormula>
    </tableColumn>
    <tableColumn id="6" xr3:uid="{235D8C18-3F98-4FA2-877F-F3E243A6822E}" name="GCM 2" dataDxfId="5">
      <calculatedColumnFormula>C29*$D$7+D29*$E$7</calculatedColumnFormula>
    </tableColumn>
    <tableColumn id="7" xr3:uid="{DE73E0FE-F53D-455B-A920-A2C055C06B54}" name="Pure"/>
    <tableColumn id="8" xr3:uid="{83A6A24A-A67F-4C66-805B-90E0325F147F}" name="Difference" dataDxfId="4">
      <calculatedColumnFormula>ABS(G29-E29)/G29*100</calculatedColumnFormula>
    </tableColumn>
    <tableColumn id="9" xr3:uid="{6D9BDE64-FE3C-49CA-B60C-0038714B8D03}" name="Difference 2" dataDxfId="3">
      <calculatedColumnFormula>ABS(G29-F29)/G29*100</calculatedColumnFormula>
    </tableColumn>
    <tableColumn id="10" xr3:uid="{12E53D6D-1F9F-4F53-8C55-7FFF531EF38C}" name="N points"/>
    <tableColumn id="11" xr3:uid="{1253E97D-D198-42F0-A8B6-C2AA54079043}" name="N us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492FF3-FF0D-45CD-A669-4B1B74C8B5A8}" name="Table13" displayName="Table13" ref="A1:I14" totalsRowShown="0">
  <autoFilter ref="A1:I14" xr:uid="{D0492FF3-FF0D-45CD-A669-4B1B74C8B5A8}"/>
  <tableColumns count="9">
    <tableColumn id="1" xr3:uid="{7CB245E9-AED2-466C-86F0-2BA82079AF7F}" name="Fluids Trained on"/>
    <tableColumn id="9" xr3:uid="{FD5004C8-4014-449B-99C7-44BF1881E5E0}" name="Model"/>
    <tableColumn id="2" xr3:uid="{40F4A77F-9053-494E-940E-0558051D5C0A}" name="Groups Optimized"/>
    <tableColumn id="3" xr3:uid="{3DF74780-DD22-4EE9-9A0D-C09514ADC43D}" name="Value" dataDxfId="2">
      <calculatedColumnFormula>1.11096/6</calculatedColumnFormula>
    </tableColumn>
    <tableColumn id="4" xr3:uid="{49703CF6-FB85-4EBB-924B-B33B5B1ABAC6}" name="Value2"/>
    <tableColumn id="5" xr3:uid="{8963CD0C-60D2-4549-B33B-2A3FA55A66BD}" name="Pure Fluid"/>
    <tableColumn id="6" xr3:uid="{C04F4932-8443-4858-8FD7-2A00D3B28449}" name="Note"/>
    <tableColumn id="7" xr3:uid="{E377CF53-FA72-448C-8D75-B9B45C2023E2}" name="AAD train"/>
    <tableColumn id="8" xr3:uid="{4D42C470-C77A-410B-9161-F10894ED32AD}" name="AAD 1b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D2F46B-1CED-4A27-A9DE-7E8FCCA33933}" name="Table134" displayName="Table134" ref="A26:I40" totalsRowShown="0">
  <autoFilter ref="A26:I40" xr:uid="{C9D2F46B-1CED-4A27-A9DE-7E8FCCA33933}"/>
  <tableColumns count="9">
    <tableColumn id="1" xr3:uid="{B1D064EA-1119-40B2-B361-F9DC470473DE}" name="Fluids Trained on"/>
    <tableColumn id="9" xr3:uid="{4614633E-F688-4AFA-904E-0100A5CE7CE9}" name="Model"/>
    <tableColumn id="2" xr3:uid="{3F42E0F3-B1D6-4855-A826-C4181860F341}" name="Groups Optimized"/>
    <tableColumn id="3" xr3:uid="{732CFF55-F808-450F-A12B-2AFAB3F6C0A7}" name="Value" dataDxfId="0">
      <calculatedColumnFormula>1.11096/6</calculatedColumnFormula>
    </tableColumn>
    <tableColumn id="4" xr3:uid="{0751B835-A6F6-4DBE-B006-3FF96AB0D847}" name="Value2"/>
    <tableColumn id="5" xr3:uid="{FF3286A2-F5FB-4A13-A184-210E0599F50E}" name="Pure Fluid"/>
    <tableColumn id="6" xr3:uid="{747C1A42-4776-48DE-B169-C51FCD75D666}" name="Note"/>
    <tableColumn id="7" xr3:uid="{D5024ACF-E705-420D-A2B8-A6FF34EB2F34}" name="AAD train"/>
    <tableColumn id="8" xr3:uid="{6A6A4C80-56D6-4C67-A68F-A3CEA8C5990F}" name="AAD 1b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317142-EEDD-4872-8AF0-B4B96AE35B3B}" name="Table1346" displayName="Table1346" ref="A45:I62" totalsRowShown="0">
  <autoFilter ref="A45:I62" xr:uid="{26317142-EEDD-4872-8AF0-B4B96AE35B3B}"/>
  <tableColumns count="9">
    <tableColumn id="1" xr3:uid="{DCA7B086-EE70-4934-AE78-5113FD2CAE95}" name="Fluids Trained on"/>
    <tableColumn id="9" xr3:uid="{6D6AC1A0-3399-49C8-8029-86B2E4043FF7}" name="Model"/>
    <tableColumn id="2" xr3:uid="{B86A0EE0-A819-46F0-94F2-5E87C0E9ED8A}" name="Groups Optimized"/>
    <tableColumn id="3" xr3:uid="{A1863FBE-E135-4F32-AEA0-5C26DBA4C05B}" name="Value" dataDxfId="1">
      <calculatedColumnFormula>1.11096/6</calculatedColumnFormula>
    </tableColumn>
    <tableColumn id="4" xr3:uid="{03E83C4D-D923-4EB4-8786-CE35C1CEB5DE}" name="Value Constant"/>
    <tableColumn id="5" xr3:uid="{0681B6F1-BE5A-4830-A429-CAF35B23F493}" name="Pure Fluid"/>
    <tableColumn id="6" xr3:uid="{E1136263-1C33-4855-AB79-7DCD123FD66C}" name="Note"/>
    <tableColumn id="7" xr3:uid="{EB7DAA9E-F75E-45A3-8A91-318FA77D95F3}" name="AAD train"/>
    <tableColumn id="8" xr3:uid="{BE39F083-9E75-449E-B08D-50B1805A6AEE}" name="AAD 1ba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E7CA1D3-2021-4A4B-8CE6-0FA5F770CDE6}" name="Table6" displayName="Table6" ref="A74:I77" totalsRowShown="0">
  <autoFilter ref="A74:I77" xr:uid="{7E7CA1D3-2021-4A4B-8CE6-0FA5F770CDE6}"/>
  <tableColumns count="9">
    <tableColumn id="1" xr3:uid="{8BA17175-E7B1-4C6E-8522-BE5E1393B3CA}" name="Column1"/>
    <tableColumn id="2" xr3:uid="{0B588A6E-6BB5-41AD-A35C-9E067B8D42E3}" name="C"/>
    <tableColumn id="3" xr3:uid="{9E97DCCF-8229-4F80-85EF-E227E9394714}" name="n1"/>
    <tableColumn id="4" xr3:uid="{ADE49444-55F4-43DE-B00F-85C421C8A2C6}" name="n2"/>
    <tableColumn id="5" xr3:uid="{9EBBF952-9A05-4D9D-AD78-6E0CD8ED9C27}" name="n3"/>
    <tableColumn id="6" xr3:uid="{96BC1249-6357-401B-A617-678D8D1C9AA5}" name="e1"/>
    <tableColumn id="7" xr3:uid="{3E855E97-A787-43E4-9292-1CC0CCBCBBB8}" name="e2"/>
    <tableColumn id="8" xr3:uid="{73DEDF7C-E5D3-4D3C-9E13-261A9A881597}" name="e3"/>
    <tableColumn id="9" xr3:uid="{AFA9ADBA-45C5-4E79-8976-265A0FF50866}" name="f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6454352-4798-40D7-83F5-9404A1C84A9D}" name="Table8" displayName="Table8" ref="A1:H7" totalsRowShown="0">
  <autoFilter ref="A1:H7" xr:uid="{16454352-4798-40D7-83F5-9404A1C84A9D}"/>
  <tableColumns count="8">
    <tableColumn id="1" xr3:uid="{A92ADD89-186E-45AA-997F-8868F153637D}" name="Column1"/>
    <tableColumn id="2" xr3:uid="{C3F2968A-CB77-41E3-8F6D-844E2C4CED96}" name="A"/>
    <tableColumn id="3" xr3:uid="{7C3991E2-5AF5-43F1-8BA7-7B7B12DD71DD}" name="B"/>
    <tableColumn id="4" xr3:uid="{D996C02D-6042-4D81-BAC8-EBDD448A7865}" name="C"/>
    <tableColumn id="5" xr3:uid="{86E9C172-0418-4B21-90E7-CCF41C491DF5}" name="gamma"/>
    <tableColumn id="6" xr3:uid="{50067DDA-7BAF-4E86-B3A3-C566AD40129B}" name="D"/>
    <tableColumn id="7" xr3:uid="{F562A7D4-A900-4B26-B9DC-8AB37D8AE23F}" name="f"/>
    <tableColumn id="8" xr3:uid="{564FF79C-4922-4B36-B799-A2FC04D1ED1C}" name="Column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F66BB-7BFD-4058-B899-8DBF33357212}">
  <dimension ref="A1:M53"/>
  <sheetViews>
    <sheetView topLeftCell="A37" zoomScale="75" zoomScaleNormal="85" workbookViewId="0">
      <selection activeCell="E53" sqref="C53:E53"/>
    </sheetView>
  </sheetViews>
  <sheetFormatPr defaultRowHeight="14.5" x14ac:dyDescent="0.35"/>
  <cols>
    <col min="1" max="1" width="20.26953125" bestFit="1" customWidth="1"/>
    <col min="2" max="2" width="20.26953125" customWidth="1"/>
    <col min="3" max="3" width="18.1796875" bestFit="1" customWidth="1"/>
    <col min="4" max="4" width="13" bestFit="1" customWidth="1"/>
    <col min="5" max="5" width="12.36328125" bestFit="1" customWidth="1"/>
    <col min="6" max="6" width="11.54296875" bestFit="1" customWidth="1"/>
    <col min="7" max="7" width="37.6328125" bestFit="1" customWidth="1"/>
    <col min="8" max="9" width="12.36328125" bestFit="1" customWidth="1"/>
    <col min="10" max="10" width="9.6328125" customWidth="1"/>
    <col min="11" max="11" width="8.453125" customWidth="1"/>
  </cols>
  <sheetData>
    <row r="1" spans="1:9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</row>
    <row r="2" spans="1:9" x14ac:dyDescent="0.35">
      <c r="A2" t="s">
        <v>0</v>
      </c>
      <c r="B2" t="s">
        <v>44</v>
      </c>
      <c r="C2" t="s">
        <v>1</v>
      </c>
      <c r="D2">
        <v>0.47619299999999998</v>
      </c>
    </row>
    <row r="3" spans="1:9" x14ac:dyDescent="0.35">
      <c r="A3" t="s">
        <v>5</v>
      </c>
      <c r="B3" t="s">
        <v>44</v>
      </c>
      <c r="C3" t="s">
        <v>6</v>
      </c>
      <c r="D3">
        <v>0.484458</v>
      </c>
      <c r="E3">
        <v>4.7793000000000002E-2</v>
      </c>
      <c r="G3" t="s">
        <v>20</v>
      </c>
    </row>
    <row r="4" spans="1:9" x14ac:dyDescent="0.35">
      <c r="A4" t="s">
        <v>5</v>
      </c>
      <c r="B4" t="s">
        <v>44</v>
      </c>
      <c r="C4" t="s">
        <v>6</v>
      </c>
      <c r="D4">
        <v>0.48334700000000003</v>
      </c>
      <c r="E4">
        <v>4.7972399999999998E-2</v>
      </c>
      <c r="G4" t="s">
        <v>19</v>
      </c>
    </row>
    <row r="5" spans="1:9" x14ac:dyDescent="0.35">
      <c r="A5" t="s">
        <v>5</v>
      </c>
      <c r="B5" t="s">
        <v>44</v>
      </c>
      <c r="C5" t="s">
        <v>8</v>
      </c>
      <c r="D5" t="s">
        <v>23</v>
      </c>
      <c r="E5">
        <v>4.9229000000000002E-2</v>
      </c>
      <c r="G5" t="s">
        <v>24</v>
      </c>
    </row>
    <row r="6" spans="1:9" x14ac:dyDescent="0.35">
      <c r="A6" t="s">
        <v>5</v>
      </c>
      <c r="B6" t="s">
        <v>45</v>
      </c>
      <c r="C6" t="s">
        <v>6</v>
      </c>
      <c r="D6">
        <v>0.39871800000000002</v>
      </c>
      <c r="E6">
        <v>4.0770000000000001E-2</v>
      </c>
      <c r="G6" t="s">
        <v>36</v>
      </c>
    </row>
    <row r="7" spans="1:9" x14ac:dyDescent="0.35">
      <c r="D7">
        <v>0.40577200000000002</v>
      </c>
      <c r="E7">
        <v>3.8855399999999998E-2</v>
      </c>
      <c r="G7" t="s">
        <v>39</v>
      </c>
    </row>
    <row r="8" spans="1:9" x14ac:dyDescent="0.35">
      <c r="D8">
        <v>0.4078</v>
      </c>
      <c r="E8">
        <v>3.8234999999999998E-2</v>
      </c>
      <c r="G8" t="s">
        <v>40</v>
      </c>
    </row>
    <row r="9" spans="1:9" x14ac:dyDescent="0.35">
      <c r="A9" t="s">
        <v>25</v>
      </c>
      <c r="B9" t="s">
        <v>44</v>
      </c>
      <c r="C9" t="s">
        <v>26</v>
      </c>
      <c r="D9">
        <f>1.04744/6</f>
        <v>0.17457333333333333</v>
      </c>
    </row>
    <row r="10" spans="1:9" x14ac:dyDescent="0.35">
      <c r="B10" t="s">
        <v>45</v>
      </c>
      <c r="C10" t="s">
        <v>34</v>
      </c>
      <c r="D10">
        <f>0.918721/6</f>
        <v>0.15312016666666667</v>
      </c>
      <c r="G10" t="s">
        <v>35</v>
      </c>
    </row>
    <row r="11" spans="1:9" x14ac:dyDescent="0.35">
      <c r="B11" t="s">
        <v>45</v>
      </c>
      <c r="C11" t="s">
        <v>34</v>
      </c>
      <c r="D11">
        <f>0.913806/6</f>
        <v>0.15230099999999999</v>
      </c>
      <c r="G11" t="s">
        <v>36</v>
      </c>
    </row>
    <row r="12" spans="1:9" x14ac:dyDescent="0.35">
      <c r="B12" t="s">
        <v>45</v>
      </c>
      <c r="C12" s="1" t="s">
        <v>26</v>
      </c>
      <c r="D12" s="1">
        <f>0.856098/6</f>
        <v>0.142683</v>
      </c>
      <c r="E12" s="1"/>
      <c r="F12" s="1"/>
      <c r="G12" s="1" t="s">
        <v>38</v>
      </c>
      <c r="H12" s="1">
        <v>2.785E-2</v>
      </c>
      <c r="I12" s="1">
        <v>3.7599999999999999E-3</v>
      </c>
    </row>
    <row r="13" spans="1:9" x14ac:dyDescent="0.35">
      <c r="B13" t="s">
        <v>45</v>
      </c>
      <c r="C13" t="s">
        <v>26</v>
      </c>
      <c r="D13">
        <f>0.879119/6</f>
        <v>0.14651983333333332</v>
      </c>
      <c r="G13" t="s">
        <v>39</v>
      </c>
      <c r="H13">
        <v>3.0890000000000001E-2</v>
      </c>
      <c r="I13">
        <v>1.729E-2</v>
      </c>
    </row>
    <row r="14" spans="1:9" x14ac:dyDescent="0.35">
      <c r="B14" t="s">
        <v>45</v>
      </c>
      <c r="C14" t="s">
        <v>26</v>
      </c>
      <c r="D14">
        <f>0.879427/6</f>
        <v>0.14657116666666667</v>
      </c>
      <c r="G14" t="s">
        <v>40</v>
      </c>
      <c r="H14">
        <v>2.7699999999999999E-2</v>
      </c>
      <c r="I14">
        <v>4.3670000000000002E-3</v>
      </c>
    </row>
    <row r="19" spans="1:13" x14ac:dyDescent="0.35">
      <c r="A19" s="1" t="s">
        <v>48</v>
      </c>
    </row>
    <row r="20" spans="1:13" x14ac:dyDescent="0.35">
      <c r="A20" t="s">
        <v>7</v>
      </c>
      <c r="B20" t="s">
        <v>47</v>
      </c>
      <c r="C20" t="s">
        <v>1</v>
      </c>
      <c r="D20" t="s">
        <v>8</v>
      </c>
      <c r="E20" t="s">
        <v>21</v>
      </c>
      <c r="F20" t="s">
        <v>22</v>
      </c>
      <c r="G20" t="s">
        <v>52</v>
      </c>
      <c r="H20" t="s">
        <v>9</v>
      </c>
      <c r="I20" t="s">
        <v>15</v>
      </c>
      <c r="J20" t="s">
        <v>51</v>
      </c>
      <c r="K20" t="s">
        <v>53</v>
      </c>
      <c r="L20" t="s">
        <v>16</v>
      </c>
      <c r="M20" t="s">
        <v>17</v>
      </c>
    </row>
    <row r="21" spans="1:13" x14ac:dyDescent="0.35">
      <c r="A21" t="s">
        <v>10</v>
      </c>
      <c r="C21">
        <v>2</v>
      </c>
      <c r="D21">
        <v>6</v>
      </c>
      <c r="E21">
        <f>C21*$D$3+D21*$E$3</f>
        <v>1.255674</v>
      </c>
      <c r="F21">
        <f>C21*$D$4+D21*$E$4</f>
        <v>1.2545284000000001</v>
      </c>
      <c r="G21">
        <f>Table4[[#This Row],[CH3]]*$D$2+Table4[[#This Row],[CH2]]*$E$5</f>
        <v>1.24776</v>
      </c>
      <c r="H21">
        <v>1.2615700000000001</v>
      </c>
      <c r="I21">
        <f t="shared" ref="I21:I25" si="0">ABS(H21-E21)/H21*100</f>
        <v>0.46735416980430122</v>
      </c>
      <c r="J21">
        <f t="shared" ref="J21:J25" si="1">ABS(H21-F21)/H21*100</f>
        <v>0.55816165571470322</v>
      </c>
      <c r="K21">
        <f t="shared" ref="K21:K25" si="2">ABS(H21-G21)/H21*100</f>
        <v>1.0946677552573458</v>
      </c>
      <c r="L21">
        <v>455</v>
      </c>
    </row>
    <row r="22" spans="1:13" x14ac:dyDescent="0.35">
      <c r="A22" t="s">
        <v>11</v>
      </c>
      <c r="C22">
        <v>2</v>
      </c>
      <c r="D22">
        <v>8</v>
      </c>
      <c r="E22">
        <f t="shared" ref="E22:E25" si="3">C22*$D$3+D22*$E$3</f>
        <v>1.3512599999999999</v>
      </c>
      <c r="F22">
        <f t="shared" ref="F22:F25" si="4">C22*$D$4+D22*$E$4</f>
        <v>1.3504732000000002</v>
      </c>
      <c r="G22">
        <f>Table4[[#This Row],[CH3]]*$D$2+Table4[[#This Row],[CH2]]*$E$5</f>
        <v>1.3462179999999999</v>
      </c>
      <c r="H22">
        <v>1.34395</v>
      </c>
      <c r="I22">
        <f t="shared" si="0"/>
        <v>0.54391904460730889</v>
      </c>
      <c r="J22">
        <f t="shared" si="1"/>
        <v>0.48537519997024986</v>
      </c>
      <c r="K22">
        <f t="shared" si="2"/>
        <v>0.16875627813534258</v>
      </c>
      <c r="L22">
        <v>358</v>
      </c>
    </row>
    <row r="23" spans="1:13" x14ac:dyDescent="0.35">
      <c r="A23" t="s">
        <v>12</v>
      </c>
      <c r="C23">
        <v>2</v>
      </c>
      <c r="D23">
        <v>10</v>
      </c>
      <c r="E23">
        <f t="shared" si="3"/>
        <v>1.4468460000000001</v>
      </c>
      <c r="F23">
        <f t="shared" si="4"/>
        <v>1.446418</v>
      </c>
      <c r="G23">
        <f>Table4[[#This Row],[CH3]]*$D$2+Table4[[#This Row],[CH2]]*$E$5</f>
        <v>1.4446759999999998</v>
      </c>
      <c r="H23">
        <v>1.4469099999999999</v>
      </c>
      <c r="I23">
        <f t="shared" si="0"/>
        <v>4.4232191359408644E-3</v>
      </c>
      <c r="J23">
        <f t="shared" si="1"/>
        <v>3.4003497107625E-2</v>
      </c>
      <c r="K23">
        <f t="shared" si="2"/>
        <v>0.15439799296432186</v>
      </c>
      <c r="L23">
        <v>354</v>
      </c>
    </row>
    <row r="24" spans="1:13" x14ac:dyDescent="0.35">
      <c r="A24" t="s">
        <v>13</v>
      </c>
      <c r="C24">
        <v>2</v>
      </c>
      <c r="D24">
        <v>12</v>
      </c>
      <c r="E24">
        <f t="shared" si="3"/>
        <v>1.542432</v>
      </c>
      <c r="F24">
        <f t="shared" si="4"/>
        <v>1.5423628</v>
      </c>
      <c r="G24">
        <f>Table4[[#This Row],[CH3]]*$D$2+Table4[[#This Row],[CH2]]*$E$5</f>
        <v>1.543134</v>
      </c>
      <c r="H24">
        <v>1.54009</v>
      </c>
      <c r="I24">
        <f t="shared" si="0"/>
        <v>0.15206903492653456</v>
      </c>
      <c r="J24">
        <f t="shared" si="1"/>
        <v>0.14757579102520468</v>
      </c>
      <c r="K24">
        <f t="shared" si="2"/>
        <v>0.19765078664234209</v>
      </c>
      <c r="L24">
        <v>167</v>
      </c>
    </row>
    <row r="25" spans="1:13" x14ac:dyDescent="0.35">
      <c r="A25" t="s">
        <v>14</v>
      </c>
      <c r="C25">
        <v>2</v>
      </c>
      <c r="D25">
        <v>14</v>
      </c>
      <c r="E25">
        <f t="shared" si="3"/>
        <v>1.6380180000000002</v>
      </c>
      <c r="F25">
        <f t="shared" si="4"/>
        <v>1.6383076000000001</v>
      </c>
      <c r="G25">
        <f>Table4[[#This Row],[CH3]]*$D$2+Table4[[#This Row],[CH2]]*$E$5</f>
        <v>1.6415919999999999</v>
      </c>
      <c r="H25">
        <v>1.64089</v>
      </c>
      <c r="I25">
        <f t="shared" si="0"/>
        <v>0.17502696707273271</v>
      </c>
      <c r="J25">
        <f t="shared" si="1"/>
        <v>0.15737800827598886</v>
      </c>
      <c r="K25">
        <f t="shared" si="2"/>
        <v>4.278166117168003E-2</v>
      </c>
      <c r="L25">
        <v>241</v>
      </c>
    </row>
    <row r="26" spans="1:13" x14ac:dyDescent="0.35">
      <c r="I26">
        <f>AVERAGE(I21:I25)</f>
        <v>0.26855848710936364</v>
      </c>
      <c r="J26">
        <f>AVERAGE(J21:J25)</f>
        <v>0.27649883041875434</v>
      </c>
      <c r="K26">
        <f>AVERAGE(K21:K25)</f>
        <v>0.33165089483420646</v>
      </c>
    </row>
    <row r="27" spans="1:13" x14ac:dyDescent="0.35">
      <c r="A27" s="1" t="s">
        <v>49</v>
      </c>
    </row>
    <row r="28" spans="1:13" x14ac:dyDescent="0.35">
      <c r="A28" t="s">
        <v>7</v>
      </c>
      <c r="B28" t="s">
        <v>47</v>
      </c>
      <c r="C28" t="s">
        <v>1</v>
      </c>
      <c r="D28" t="s">
        <v>8</v>
      </c>
      <c r="E28" t="s">
        <v>21</v>
      </c>
      <c r="F28" t="s">
        <v>22</v>
      </c>
      <c r="G28" t="s">
        <v>9</v>
      </c>
      <c r="H28" t="s">
        <v>15</v>
      </c>
      <c r="I28" t="s">
        <v>51</v>
      </c>
      <c r="J28" t="s">
        <v>16</v>
      </c>
      <c r="K28" t="s">
        <v>17</v>
      </c>
    </row>
    <row r="29" spans="1:13" x14ac:dyDescent="0.35">
      <c r="A29" t="s">
        <v>10</v>
      </c>
      <c r="C29">
        <v>2</v>
      </c>
      <c r="D29">
        <v>6</v>
      </c>
      <c r="E29">
        <f>C29*$D$6+D29*$E$6</f>
        <v>1.0420560000000001</v>
      </c>
      <c r="F29">
        <f t="shared" ref="F29:F33" si="5">C29*$D$7+D29*$E$7</f>
        <v>1.0446763999999999</v>
      </c>
      <c r="G29">
        <v>1.05199</v>
      </c>
      <c r="H29">
        <f t="shared" ref="H29:H33" si="6">ABS(G29-E29)/G29*100</f>
        <v>0.94430555423529561</v>
      </c>
      <c r="I29">
        <f t="shared" ref="I29:I33" si="7">ABS(G29-F29)/G29*100</f>
        <v>0.6952157339898698</v>
      </c>
    </row>
    <row r="30" spans="1:13" x14ac:dyDescent="0.35">
      <c r="A30" t="s">
        <v>11</v>
      </c>
      <c r="C30">
        <v>2</v>
      </c>
      <c r="D30">
        <v>8</v>
      </c>
      <c r="E30">
        <f>C30*$D$6+D30*$E$6</f>
        <v>1.123596</v>
      </c>
      <c r="F30">
        <f t="shared" si="5"/>
        <v>1.1223871999999999</v>
      </c>
      <c r="G30">
        <v>1.11666</v>
      </c>
      <c r="H30">
        <f t="shared" si="6"/>
        <v>0.62113803664499967</v>
      </c>
      <c r="I30">
        <f t="shared" si="7"/>
        <v>0.51288664409936169</v>
      </c>
    </row>
    <row r="31" spans="1:13" x14ac:dyDescent="0.35">
      <c r="A31" t="s">
        <v>12</v>
      </c>
      <c r="C31">
        <v>2</v>
      </c>
      <c r="D31">
        <v>10</v>
      </c>
      <c r="E31">
        <f>C31*$D$6+D31*$E$6</f>
        <v>1.205136</v>
      </c>
      <c r="F31">
        <f t="shared" si="5"/>
        <v>1.2000980000000001</v>
      </c>
      <c r="G31">
        <v>1.1997899999999999</v>
      </c>
      <c r="H31">
        <f t="shared" si="6"/>
        <v>0.44557797614583167</v>
      </c>
      <c r="I31">
        <f t="shared" si="7"/>
        <v>2.5671159119529007E-2</v>
      </c>
    </row>
    <row r="32" spans="1:13" x14ac:dyDescent="0.35">
      <c r="A32" t="s">
        <v>13</v>
      </c>
      <c r="C32">
        <v>2</v>
      </c>
      <c r="D32">
        <v>12</v>
      </c>
      <c r="E32">
        <f t="shared" ref="E32:E33" si="8">C32*$D$6+D32*$E$6</f>
        <v>1.2866759999999999</v>
      </c>
      <c r="F32">
        <f t="shared" si="5"/>
        <v>1.2778088000000001</v>
      </c>
      <c r="G32">
        <v>1.2747999999999999</v>
      </c>
      <c r="H32">
        <f t="shared" si="6"/>
        <v>0.93159711327267003</v>
      </c>
      <c r="I32">
        <f t="shared" si="7"/>
        <v>0.23602133668027495</v>
      </c>
    </row>
    <row r="33" spans="1:9" x14ac:dyDescent="0.35">
      <c r="A33" t="s">
        <v>14</v>
      </c>
      <c r="C33">
        <v>2</v>
      </c>
      <c r="D33">
        <v>14</v>
      </c>
      <c r="E33">
        <f t="shared" si="8"/>
        <v>1.3682160000000001</v>
      </c>
      <c r="F33">
        <f t="shared" si="5"/>
        <v>1.3555196</v>
      </c>
      <c r="G33">
        <v>1.3586499999999999</v>
      </c>
      <c r="H33">
        <f t="shared" si="6"/>
        <v>0.70408125713025327</v>
      </c>
      <c r="I33">
        <f t="shared" si="7"/>
        <v>0.23040518161409246</v>
      </c>
    </row>
    <row r="35" spans="1:9" x14ac:dyDescent="0.35">
      <c r="H35">
        <f>(G29-D29*$G$40)/2</f>
        <v>0.41099750000000002</v>
      </c>
    </row>
    <row r="36" spans="1:9" x14ac:dyDescent="0.35">
      <c r="G36">
        <f t="shared" ref="G36" si="9">(G30-G29)/2</f>
        <v>3.2335000000000003E-2</v>
      </c>
      <c r="H36">
        <f>(G30-D30*$G$40)/2</f>
        <v>0.40500000000000003</v>
      </c>
    </row>
    <row r="37" spans="1:9" x14ac:dyDescent="0.35">
      <c r="G37">
        <f>(G31-G30)/2</f>
        <v>4.1564999999999963E-2</v>
      </c>
      <c r="H37">
        <f>(G31-D31*$G$40)/2</f>
        <v>0.4082325</v>
      </c>
    </row>
    <row r="38" spans="1:9" x14ac:dyDescent="0.35">
      <c r="G38">
        <f>(G32-G31)/2</f>
        <v>3.7505000000000011E-2</v>
      </c>
      <c r="H38">
        <f>(G32-D32*$G$40)/2</f>
        <v>0.40740500000000002</v>
      </c>
    </row>
    <row r="39" spans="1:9" x14ac:dyDescent="0.35">
      <c r="G39">
        <f>(G33-G32)/2</f>
        <v>4.192499999999999E-2</v>
      </c>
      <c r="H39">
        <f>(G33-D33*$G$40)/2</f>
        <v>0.41099750000000002</v>
      </c>
    </row>
    <row r="40" spans="1:9" x14ac:dyDescent="0.35">
      <c r="F40" t="s">
        <v>50</v>
      </c>
      <c r="G40">
        <f>AVERAGE(G36:G39)</f>
        <v>3.8332499999999992E-2</v>
      </c>
      <c r="H40">
        <f>AVERAGE(H35:H39)</f>
        <v>0.40852649999999996</v>
      </c>
    </row>
    <row r="41" spans="1:9" x14ac:dyDescent="0.35">
      <c r="A41" t="s">
        <v>29</v>
      </c>
      <c r="C41" t="s">
        <v>30</v>
      </c>
      <c r="D41" t="s">
        <v>31</v>
      </c>
      <c r="E41" t="s">
        <v>32</v>
      </c>
    </row>
    <row r="42" spans="1:9" x14ac:dyDescent="0.35">
      <c r="A42">
        <v>2</v>
      </c>
      <c r="C42">
        <v>0.36357600000000001</v>
      </c>
      <c r="D42">
        <v>-7.4938000000000005E-2</v>
      </c>
      <c r="E42">
        <v>5.1590000000000004E-3</v>
      </c>
    </row>
    <row r="43" spans="1:9" x14ac:dyDescent="0.35">
      <c r="A43">
        <v>3</v>
      </c>
      <c r="C43">
        <v>0.39298300000000003</v>
      </c>
      <c r="D43">
        <v>-0.16752800000000001</v>
      </c>
      <c r="E43">
        <v>3.7983999999999997E-2</v>
      </c>
    </row>
    <row r="44" spans="1:9" x14ac:dyDescent="0.35">
      <c r="A44">
        <v>4</v>
      </c>
      <c r="C44">
        <v>0.30593500000000001</v>
      </c>
      <c r="D44">
        <v>-0.12839100000000001</v>
      </c>
      <c r="E44">
        <v>2.8657999999999999E-2</v>
      </c>
    </row>
    <row r="45" spans="1:9" x14ac:dyDescent="0.35">
      <c r="A45">
        <v>5</v>
      </c>
      <c r="C45">
        <v>0.28631200000000001</v>
      </c>
      <c r="D45">
        <v>-0.11108999999999999</v>
      </c>
      <c r="E45">
        <v>2.2641999999999999E-2</v>
      </c>
    </row>
    <row r="46" spans="1:9" x14ac:dyDescent="0.35">
      <c r="A46">
        <v>6</v>
      </c>
      <c r="C46">
        <v>0.220249</v>
      </c>
      <c r="D46">
        <v>-7.0232000000000003E-2</v>
      </c>
      <c r="E46">
        <v>1.1963E-2</v>
      </c>
    </row>
    <row r="47" spans="1:9" x14ac:dyDescent="0.35">
      <c r="A47">
        <v>7</v>
      </c>
      <c r="C47">
        <v>0.30593199999999998</v>
      </c>
      <c r="D47">
        <v>-0.171762</v>
      </c>
      <c r="E47">
        <v>5.0057999999999998E-2</v>
      </c>
    </row>
    <row r="48" spans="1:9" x14ac:dyDescent="0.35">
      <c r="A48">
        <v>8</v>
      </c>
      <c r="C48">
        <v>0.297539</v>
      </c>
      <c r="D48">
        <v>-0.209949</v>
      </c>
      <c r="E48">
        <v>6.8151000000000003E-2</v>
      </c>
    </row>
    <row r="49" spans="1:5" x14ac:dyDescent="0.35">
      <c r="A49" t="s">
        <v>33</v>
      </c>
      <c r="C49">
        <f>AVERAGE(C42:C48)</f>
        <v>0.31036085714285716</v>
      </c>
      <c r="D49">
        <f>AVERAGE(D42:D48)</f>
        <v>-0.13341285714285714</v>
      </c>
      <c r="E49">
        <f t="shared" ref="E49" si="10">AVERAGE(E42:E48)</f>
        <v>3.2087857142857147E-2</v>
      </c>
    </row>
    <row r="50" spans="1:5" x14ac:dyDescent="0.35">
      <c r="A50" t="s">
        <v>37</v>
      </c>
      <c r="C50">
        <f>AVERAGE(C43:C48)</f>
        <v>0.30149166666666666</v>
      </c>
      <c r="D50">
        <f>AVERAGE(D43:D48)</f>
        <v>-0.14315866666666668</v>
      </c>
      <c r="E50">
        <f>AVERAGE(E43:E48)</f>
        <v>3.6575999999999997E-2</v>
      </c>
    </row>
    <row r="51" spans="1:5" x14ac:dyDescent="0.35">
      <c r="A51" t="s">
        <v>46</v>
      </c>
      <c r="C51">
        <f>AVERAGE(C43:C47)</f>
        <v>0.30228219999999995</v>
      </c>
      <c r="D51">
        <f t="shared" ref="D51:E51" si="11">AVERAGE(D43:D47)</f>
        <v>-0.12980060000000002</v>
      </c>
      <c r="E51">
        <f t="shared" si="11"/>
        <v>3.0261E-2</v>
      </c>
    </row>
    <row r="53" spans="1:5" x14ac:dyDescent="0.35">
      <c r="C53">
        <f>AVERAGE(C43:C46)</f>
        <v>0.30136974999999999</v>
      </c>
      <c r="D53">
        <f t="shared" ref="D53:E53" si="12">AVERAGE(D43:D46)</f>
        <v>-0.11931025000000002</v>
      </c>
      <c r="E53">
        <f t="shared" si="12"/>
        <v>2.5311749999999997E-2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9A6B0-FACC-44A1-B675-AC06C606BFF0}">
  <dimension ref="A1:D6"/>
  <sheetViews>
    <sheetView workbookViewId="0">
      <selection activeCell="B3" sqref="B3"/>
    </sheetView>
  </sheetViews>
  <sheetFormatPr defaultRowHeight="14.5" x14ac:dyDescent="0.35"/>
  <sheetData>
    <row r="1" spans="1:4" x14ac:dyDescent="0.35">
      <c r="B1" t="s">
        <v>54</v>
      </c>
      <c r="C1" t="s">
        <v>55</v>
      </c>
      <c r="D1" t="s">
        <v>56</v>
      </c>
    </row>
    <row r="2" spans="1:4" x14ac:dyDescent="0.35">
      <c r="A2" t="s">
        <v>1</v>
      </c>
      <c r="B2">
        <v>-6.1718500000000004E-3</v>
      </c>
      <c r="C2">
        <v>-0.194443</v>
      </c>
      <c r="D2">
        <v>-5.97023E-2</v>
      </c>
    </row>
    <row r="3" spans="1:4" x14ac:dyDescent="0.35">
      <c r="A3" t="s">
        <v>8</v>
      </c>
      <c r="B3">
        <v>-1.5553819999999999E-3</v>
      </c>
      <c r="C3">
        <v>-0.24406800000000001</v>
      </c>
      <c r="D3">
        <v>-5.8962099999999998E-3</v>
      </c>
    </row>
    <row r="6" spans="1:4" x14ac:dyDescent="0.35">
      <c r="B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3DBF-EF42-4695-ABFE-9E64DAD705B3}">
  <dimension ref="A1:AJ75"/>
  <sheetViews>
    <sheetView tabSelected="1" topLeftCell="J34" zoomScale="82" zoomScaleNormal="85" workbookViewId="0">
      <selection activeCell="N45" sqref="N45"/>
    </sheetView>
  </sheetViews>
  <sheetFormatPr defaultRowHeight="14.5" x14ac:dyDescent="0.35"/>
  <cols>
    <col min="1" max="1" width="17.453125" bestFit="1" customWidth="1"/>
    <col min="2" max="2" width="63.54296875" customWidth="1"/>
    <col min="3" max="3" width="21" customWidth="1"/>
    <col min="4" max="4" width="10.81640625" customWidth="1"/>
    <col min="5" max="5" width="8.81640625" bestFit="1" customWidth="1"/>
    <col min="6" max="6" width="11.54296875" bestFit="1" customWidth="1"/>
    <col min="7" max="7" width="15.81640625" customWidth="1"/>
    <col min="8" max="8" width="10.81640625" bestFit="1" customWidth="1"/>
    <col min="9" max="9" width="10.6328125" bestFit="1" customWidth="1"/>
    <col min="11" max="11" width="11.1796875" customWidth="1"/>
    <col min="15" max="15" width="14.453125" customWidth="1"/>
    <col min="16" max="16" width="12.453125" customWidth="1"/>
  </cols>
  <sheetData>
    <row r="1" spans="1:36" x14ac:dyDescent="0.35">
      <c r="A1" t="s">
        <v>2</v>
      </c>
      <c r="B1" t="s">
        <v>43</v>
      </c>
      <c r="C1" t="s">
        <v>3</v>
      </c>
      <c r="D1" t="s">
        <v>27</v>
      </c>
      <c r="E1" t="s">
        <v>28</v>
      </c>
      <c r="F1" t="s">
        <v>4</v>
      </c>
      <c r="G1" t="s">
        <v>18</v>
      </c>
      <c r="H1" t="s">
        <v>41</v>
      </c>
      <c r="I1" t="s">
        <v>42</v>
      </c>
      <c r="L1" t="s">
        <v>33</v>
      </c>
      <c r="M1" t="s">
        <v>1</v>
      </c>
      <c r="N1" t="s">
        <v>8</v>
      </c>
      <c r="O1" t="s">
        <v>65</v>
      </c>
      <c r="P1" t="s">
        <v>66</v>
      </c>
      <c r="Q1" t="s">
        <v>62</v>
      </c>
      <c r="R1" t="s">
        <v>63</v>
      </c>
      <c r="S1" t="s">
        <v>67</v>
      </c>
      <c r="U1">
        <v>4</v>
      </c>
      <c r="V1">
        <v>5</v>
      </c>
      <c r="W1">
        <v>6</v>
      </c>
      <c r="X1">
        <v>7</v>
      </c>
      <c r="Y1">
        <v>8</v>
      </c>
      <c r="Z1">
        <v>9</v>
      </c>
      <c r="AA1">
        <v>10</v>
      </c>
      <c r="AB1">
        <v>11</v>
      </c>
      <c r="AC1">
        <v>12</v>
      </c>
      <c r="AD1">
        <v>13</v>
      </c>
      <c r="AE1">
        <v>14</v>
      </c>
      <c r="AF1">
        <v>15</v>
      </c>
      <c r="AG1">
        <v>16</v>
      </c>
      <c r="AH1">
        <v>17</v>
      </c>
      <c r="AI1" t="s">
        <v>50</v>
      </c>
      <c r="AJ1" t="s">
        <v>71</v>
      </c>
    </row>
    <row r="2" spans="1:36" x14ac:dyDescent="0.35">
      <c r="A2" t="s">
        <v>25</v>
      </c>
      <c r="C2" t="s">
        <v>26</v>
      </c>
      <c r="D2">
        <f t="shared" ref="D2" si="0">1.11096/6</f>
        <v>0.18515999999999999</v>
      </c>
      <c r="E2">
        <v>72.964500000000001</v>
      </c>
      <c r="G2">
        <f>0.879119/6</f>
        <v>0.14651983333333332</v>
      </c>
      <c r="Q2">
        <v>2.6627476000000001E-2</v>
      </c>
      <c r="R2">
        <v>2.77759</v>
      </c>
      <c r="S2">
        <v>3.5799999999999998E-2</v>
      </c>
      <c r="U2">
        <v>3.9295957709234101E-2</v>
      </c>
      <c r="V2">
        <v>3.0319266912699799E-2</v>
      </c>
      <c r="W2">
        <v>3.6490480103860398E-2</v>
      </c>
      <c r="X2">
        <v>6.8261823758580101E-2</v>
      </c>
      <c r="Y2">
        <v>5.70017455092112E-2</v>
      </c>
      <c r="Z2">
        <v>4.2008664306779998E-2</v>
      </c>
      <c r="AA2">
        <v>2.76708742991357E-2</v>
      </c>
      <c r="AB2">
        <v>2.5964484052484599E-2</v>
      </c>
      <c r="AC2">
        <v>5.0962861333471998E-2</v>
      </c>
      <c r="AD2">
        <v>6.4454100076890106E-2</v>
      </c>
      <c r="AE2">
        <v>5.1101088362238402E-2</v>
      </c>
      <c r="AF2">
        <v>0.14985295197097201</v>
      </c>
      <c r="AG2">
        <v>9.05908410923255E-2</v>
      </c>
      <c r="AH2">
        <v>4.6642337949149501E-2</v>
      </c>
      <c r="AI2">
        <f>AVERAGE(U2:AH2)</f>
        <v>5.5758391245502394E-2</v>
      </c>
      <c r="AJ2">
        <f>MAX(U2:AH2)</f>
        <v>0.14985295197097201</v>
      </c>
    </row>
    <row r="3" spans="1:36" x14ac:dyDescent="0.35">
      <c r="A3" t="s">
        <v>57</v>
      </c>
      <c r="C3" t="s">
        <v>58</v>
      </c>
      <c r="D3">
        <v>0.103377</v>
      </c>
      <c r="E3">
        <v>-123.288</v>
      </c>
      <c r="G3" t="s">
        <v>59</v>
      </c>
      <c r="Q3">
        <v>2.8334000000000002E-2</v>
      </c>
      <c r="R3">
        <v>2.75</v>
      </c>
      <c r="S3">
        <v>4.8500000000000001E-2</v>
      </c>
      <c r="AJ3">
        <f t="shared" ref="AJ3:AJ7" si="1">MAX(U3:AH3)</f>
        <v>0</v>
      </c>
    </row>
    <row r="4" spans="1:36" x14ac:dyDescent="0.35">
      <c r="A4" t="s">
        <v>60</v>
      </c>
      <c r="C4" t="s">
        <v>9</v>
      </c>
      <c r="D4">
        <v>0.76141700000000001</v>
      </c>
      <c r="K4" t="s">
        <v>70</v>
      </c>
      <c r="L4" t="s">
        <v>64</v>
      </c>
      <c r="M4">
        <v>0.31089250000000002</v>
      </c>
      <c r="N4">
        <v>9.3024140000000002E-3</v>
      </c>
      <c r="O4">
        <v>-6.1322000000000002E-2</v>
      </c>
      <c r="P4">
        <v>-0.44629099999999999</v>
      </c>
      <c r="Q4">
        <v>2.7893000000000001E-2</v>
      </c>
      <c r="R4">
        <v>2.7532287000000002</v>
      </c>
      <c r="S4">
        <v>2.7050000000000001E-2</v>
      </c>
      <c r="AJ4">
        <f t="shared" si="1"/>
        <v>0</v>
      </c>
    </row>
    <row r="5" spans="1:36" x14ac:dyDescent="0.35">
      <c r="A5" t="s">
        <v>61</v>
      </c>
      <c r="C5" t="s">
        <v>9</v>
      </c>
      <c r="D5">
        <v>0.76133999999999991</v>
      </c>
      <c r="M5">
        <v>0.20918041342902799</v>
      </c>
      <c r="N5">
        <v>3.86457794072489E-3</v>
      </c>
      <c r="O5">
        <v>-0.17663046571746699</v>
      </c>
      <c r="P5">
        <v>-1.17274362771735</v>
      </c>
      <c r="Q5">
        <v>2.78307626172117E-2</v>
      </c>
      <c r="R5">
        <v>2.75</v>
      </c>
      <c r="S5">
        <v>2.5930000000000002E-2</v>
      </c>
      <c r="U5">
        <v>5.1124899827396597E-2</v>
      </c>
      <c r="V5">
        <v>3.7040419230902101E-2</v>
      </c>
      <c r="W5">
        <v>4.0043811695251702E-2</v>
      </c>
      <c r="X5">
        <v>5.3861221018446703E-2</v>
      </c>
      <c r="Y5">
        <v>5.5739391953762998E-2</v>
      </c>
      <c r="Z5">
        <v>5.4564257278704301E-2</v>
      </c>
      <c r="AA5">
        <v>3.7599175380684698E-2</v>
      </c>
      <c r="AB5">
        <v>3.5022058009562602E-2</v>
      </c>
      <c r="AC5">
        <v>4.3663862399276901E-2</v>
      </c>
      <c r="AD5">
        <v>2.9417789239520199E-2</v>
      </c>
      <c r="AE5">
        <v>3.1631659915169301E-2</v>
      </c>
      <c r="AF5">
        <v>3.7339093812924599E-2</v>
      </c>
      <c r="AG5">
        <v>5.6629642972582397E-2</v>
      </c>
      <c r="AH5">
        <v>4.6639521935386501E-2</v>
      </c>
      <c r="AI5">
        <f t="shared" ref="AI5:AI7" si="2">AVERAGE(U5:AH5)</f>
        <v>4.3594057476397961E-2</v>
      </c>
      <c r="AJ5">
        <f t="shared" si="1"/>
        <v>5.6629642972582397E-2</v>
      </c>
    </row>
    <row r="6" spans="1:36" x14ac:dyDescent="0.35">
      <c r="K6" t="s">
        <v>69</v>
      </c>
      <c r="L6" t="s">
        <v>68</v>
      </c>
      <c r="M6">
        <v>0.35712235581224999</v>
      </c>
      <c r="N6">
        <v>3.02375711122677E-2</v>
      </c>
      <c r="O6">
        <v>-4.6918277081379399E-4</v>
      </c>
      <c r="P6" s="3">
        <v>5.97161659847095E-5</v>
      </c>
      <c r="Q6">
        <v>2.65046941847818E-2</v>
      </c>
      <c r="R6">
        <v>2.76745716325699</v>
      </c>
      <c r="S6">
        <v>2.5899999999999999E-2</v>
      </c>
      <c r="AJ6">
        <f t="shared" si="1"/>
        <v>0</v>
      </c>
    </row>
    <row r="7" spans="1:36" x14ac:dyDescent="0.35">
      <c r="M7">
        <v>0.37785453807361002</v>
      </c>
      <c r="N7">
        <v>3.09564212639553E-2</v>
      </c>
      <c r="O7">
        <v>-3.50602953799488E-4</v>
      </c>
      <c r="P7" s="3">
        <v>-6.2966807252791095E-5</v>
      </c>
      <c r="Q7">
        <v>2.79366574318681E-2</v>
      </c>
      <c r="R7">
        <v>2.75</v>
      </c>
      <c r="S7">
        <v>2.69E-2</v>
      </c>
      <c r="U7">
        <v>5.1234164992704799E-2</v>
      </c>
      <c r="V7">
        <v>3.8259948894821399E-2</v>
      </c>
      <c r="W7">
        <v>4.4814266376105798E-2</v>
      </c>
      <c r="X7">
        <v>6.0862975851584997E-2</v>
      </c>
      <c r="Y7">
        <v>5.48420889037015E-2</v>
      </c>
      <c r="Z7">
        <v>5.6458543047319898E-2</v>
      </c>
      <c r="AA7">
        <v>4.0734452118421499E-2</v>
      </c>
      <c r="AB7">
        <v>3.8297184725768603E-2</v>
      </c>
      <c r="AC7">
        <v>4.3852551815306499E-2</v>
      </c>
      <c r="AD7">
        <v>2.7933024296346001E-2</v>
      </c>
      <c r="AE7">
        <v>3.5049406089244999E-2</v>
      </c>
      <c r="AF7">
        <v>4.8820366633018003E-2</v>
      </c>
      <c r="AG7">
        <v>6.05345104621361E-2</v>
      </c>
      <c r="AH7">
        <v>3.8063878103366602E-2</v>
      </c>
      <c r="AI7">
        <f t="shared" si="2"/>
        <v>4.5696954450703341E-2</v>
      </c>
      <c r="AJ7">
        <f t="shared" si="1"/>
        <v>6.0862975851584997E-2</v>
      </c>
    </row>
    <row r="9" spans="1:36" x14ac:dyDescent="0.35">
      <c r="K9" t="s">
        <v>72</v>
      </c>
      <c r="M9">
        <v>0.42413814</v>
      </c>
      <c r="N9">
        <v>3.9082199999999997E-2</v>
      </c>
      <c r="Q9">
        <v>2.8748114500000001E-2</v>
      </c>
      <c r="R9">
        <v>2.75</v>
      </c>
      <c r="S9">
        <v>3.32E-2</v>
      </c>
    </row>
    <row r="10" spans="1:36" x14ac:dyDescent="0.35">
      <c r="L10" t="s">
        <v>64</v>
      </c>
      <c r="M10">
        <v>0.37622299999999997</v>
      </c>
      <c r="N10">
        <v>3.7999999999999999E-2</v>
      </c>
      <c r="O10">
        <v>-2.2734600000000001E-2</v>
      </c>
      <c r="P10">
        <v>-3.2859999999999999E-3</v>
      </c>
      <c r="Q10">
        <v>2.8748114500000001E-2</v>
      </c>
      <c r="R10">
        <v>2.75</v>
      </c>
      <c r="S10">
        <v>3.1800000000000002E-2</v>
      </c>
    </row>
    <row r="11" spans="1:36" x14ac:dyDescent="0.35">
      <c r="L11" t="s">
        <v>68</v>
      </c>
      <c r="M11">
        <v>0.41625000000000001</v>
      </c>
      <c r="N11">
        <v>3.8800000000000001E-2</v>
      </c>
      <c r="O11" s="3">
        <v>-6.5531999999999995E-5</v>
      </c>
      <c r="P11" s="3">
        <v>1.84218E-13</v>
      </c>
      <c r="Q11">
        <v>2.8748114500000001E-2</v>
      </c>
      <c r="R11">
        <v>2.75</v>
      </c>
      <c r="S11">
        <v>3.1899999999999998E-2</v>
      </c>
    </row>
    <row r="12" spans="1:36" x14ac:dyDescent="0.35">
      <c r="C12" s="1"/>
      <c r="D12" s="1"/>
      <c r="E12" s="1"/>
      <c r="F12" s="1"/>
      <c r="G12" s="1"/>
      <c r="H12" s="1"/>
      <c r="I12" s="1"/>
    </row>
    <row r="13" spans="1:36" x14ac:dyDescent="0.35">
      <c r="K13" t="s">
        <v>73</v>
      </c>
      <c r="L13" t="s">
        <v>74</v>
      </c>
      <c r="M13">
        <v>0.42899999999999999</v>
      </c>
      <c r="N13">
        <v>3.5487999999999999E-2</v>
      </c>
      <c r="O13">
        <v>-2.7313E-2</v>
      </c>
      <c r="P13">
        <v>0.21613099999999999</v>
      </c>
      <c r="Q13">
        <v>2.8748114500000001E-2</v>
      </c>
      <c r="R13">
        <v>2.75</v>
      </c>
      <c r="S13">
        <v>3.1399999999999997E-2</v>
      </c>
    </row>
    <row r="15" spans="1:36" x14ac:dyDescent="0.35">
      <c r="L15" t="s">
        <v>76</v>
      </c>
      <c r="M15">
        <v>0.39981126076461199</v>
      </c>
      <c r="N15">
        <v>2.7637158407232701E-2</v>
      </c>
      <c r="O15">
        <v>4.4140152578491298E-2</v>
      </c>
      <c r="P15">
        <v>0.56586955967774</v>
      </c>
      <c r="Q15">
        <v>2.8035179305768501E-2</v>
      </c>
      <c r="R15">
        <v>2.75</v>
      </c>
      <c r="S15">
        <v>2.7699999999999999E-2</v>
      </c>
    </row>
    <row r="17" spans="1:36" x14ac:dyDescent="0.35">
      <c r="M17">
        <v>0.4194367</v>
      </c>
      <c r="N17">
        <v>3.7393999999999997E-2</v>
      </c>
      <c r="O17">
        <v>0.466559</v>
      </c>
      <c r="P17">
        <v>4.8713169000000001E-2</v>
      </c>
      <c r="Q17">
        <v>2.8479999999999998E-2</v>
      </c>
      <c r="R17">
        <v>2.75</v>
      </c>
      <c r="S17">
        <v>2.8299999999999999E-2</v>
      </c>
    </row>
    <row r="20" spans="1:36" x14ac:dyDescent="0.35">
      <c r="L20" t="s">
        <v>79</v>
      </c>
      <c r="M20">
        <v>0.41926581468005703</v>
      </c>
      <c r="N20">
        <v>3.7495827721524599E-2</v>
      </c>
      <c r="O20">
        <v>-2.8548540202457E-2</v>
      </c>
      <c r="P20">
        <v>0.50025513791170295</v>
      </c>
      <c r="Q20">
        <v>2.8487736198670999E-2</v>
      </c>
    </row>
    <row r="22" spans="1:36" x14ac:dyDescent="0.35">
      <c r="J22" t="s">
        <v>67</v>
      </c>
      <c r="L22" t="s">
        <v>1</v>
      </c>
      <c r="M22" t="s">
        <v>8</v>
      </c>
      <c r="N22" t="s">
        <v>91</v>
      </c>
      <c r="O22" t="s">
        <v>92</v>
      </c>
      <c r="P22" t="s">
        <v>30</v>
      </c>
      <c r="Q22" t="s">
        <v>31</v>
      </c>
      <c r="R22" t="s">
        <v>32</v>
      </c>
      <c r="S22" t="s">
        <v>93</v>
      </c>
    </row>
    <row r="23" spans="1:36" x14ac:dyDescent="0.35">
      <c r="J23">
        <v>8.6664800735321602E-3</v>
      </c>
      <c r="L23">
        <v>1.2912198052586501</v>
      </c>
      <c r="M23">
        <v>0.105153574728946</v>
      </c>
      <c r="N23">
        <v>0.97638674847654905</v>
      </c>
      <c r="O23">
        <v>2.07477343551728E-3</v>
      </c>
      <c r="P23">
        <v>1.8594985353409501</v>
      </c>
      <c r="Q23">
        <v>-1.12713554432355</v>
      </c>
      <c r="R23">
        <v>0.31350918607919698</v>
      </c>
      <c r="S23" t="s">
        <v>94</v>
      </c>
      <c r="U23">
        <v>0.13882229410465799</v>
      </c>
      <c r="V23">
        <v>8.8882108657780207E-2</v>
      </c>
      <c r="W23">
        <v>5.65057742571132E-2</v>
      </c>
      <c r="X23">
        <v>2.8046989555059E-2</v>
      </c>
      <c r="Y23">
        <v>4.3690120832209203E-2</v>
      </c>
      <c r="Z23">
        <v>4.0592669917591299E-2</v>
      </c>
      <c r="AA23">
        <v>3.5260866002710799E-2</v>
      </c>
      <c r="AB23">
        <v>3.1745399094285802E-2</v>
      </c>
      <c r="AC23">
        <v>4.9400400011878898E-2</v>
      </c>
      <c r="AD23">
        <v>4.8850397828610503E-2</v>
      </c>
      <c r="AE23">
        <v>4.6875567124486303E-2</v>
      </c>
      <c r="AF23">
        <v>8.2336219098482599E-2</v>
      </c>
      <c r="AG23">
        <v>8.0954798564439295E-2</v>
      </c>
      <c r="AH23">
        <v>4.0953117232746902E-2</v>
      </c>
      <c r="AI23">
        <f t="shared" ref="AI23" si="3">AVERAGE(U23:AH23)</f>
        <v>5.8065480163003717E-2</v>
      </c>
      <c r="AJ23">
        <f t="shared" ref="AJ23" si="4">MAX(U23:AH23)</f>
        <v>0.13882229410465799</v>
      </c>
    </row>
    <row r="24" spans="1:36" x14ac:dyDescent="0.35">
      <c r="AJ24">
        <f t="shared" ref="AJ24:AJ25" si="5">MAX(U24:AH24)</f>
        <v>0</v>
      </c>
    </row>
    <row r="25" spans="1:36" ht="18" x14ac:dyDescent="0.35">
      <c r="A25" s="4">
        <v>2.7830761999999998E-2</v>
      </c>
      <c r="B25">
        <v>2.75</v>
      </c>
      <c r="C25" t="s">
        <v>75</v>
      </c>
      <c r="L25">
        <v>1.73536146428132</v>
      </c>
      <c r="M25">
        <v>0.122497562837804</v>
      </c>
      <c r="N25">
        <v>7.8096022621491796</v>
      </c>
      <c r="O25">
        <v>-0.34096357773369201</v>
      </c>
      <c r="P25">
        <v>3.64497040681416</v>
      </c>
      <c r="Q25">
        <v>-3.1168273646993998</v>
      </c>
      <c r="R25">
        <v>1.0652016896496299</v>
      </c>
      <c r="S25" t="s">
        <v>95</v>
      </c>
      <c r="U25">
        <v>5.5401413135515602E-2</v>
      </c>
      <c r="V25">
        <v>3.9637876037935102E-2</v>
      </c>
      <c r="W25">
        <v>4.2600230108829303E-2</v>
      </c>
      <c r="X25">
        <v>5.1289932459919398E-2</v>
      </c>
      <c r="Y25">
        <v>5.3171169192615698E-2</v>
      </c>
      <c r="Z25">
        <v>5.2316765230738201E-2</v>
      </c>
      <c r="AA25">
        <v>3.5552269393955102E-2</v>
      </c>
      <c r="AB25">
        <v>2.9216816033929699E-2</v>
      </c>
      <c r="AC25">
        <v>3.9350285132739103E-2</v>
      </c>
      <c r="AD25">
        <v>4.0806073113417898E-2</v>
      </c>
      <c r="AE25">
        <v>4.46299858844484E-2</v>
      </c>
      <c r="AF25">
        <v>5.4961783145176399E-2</v>
      </c>
      <c r="AG25">
        <v>6.2335329558024503E-2</v>
      </c>
      <c r="AH25">
        <v>3.6440245023837699E-2</v>
      </c>
      <c r="AI25">
        <f t="shared" ref="AI25" si="6">AVERAGE(U25:AH25)</f>
        <v>4.5550726675077279E-2</v>
      </c>
      <c r="AJ25">
        <f t="shared" si="5"/>
        <v>6.2335329558024503E-2</v>
      </c>
    </row>
    <row r="26" spans="1:36" x14ac:dyDescent="0.35">
      <c r="A26" t="s">
        <v>2</v>
      </c>
      <c r="B26" t="s">
        <v>43</v>
      </c>
      <c r="C26" t="s">
        <v>3</v>
      </c>
      <c r="D26" t="s">
        <v>27</v>
      </c>
      <c r="E26" t="s">
        <v>28</v>
      </c>
      <c r="F26" t="s">
        <v>4</v>
      </c>
      <c r="G26" t="s">
        <v>18</v>
      </c>
      <c r="H26" t="s">
        <v>41</v>
      </c>
      <c r="I26" t="s">
        <v>42</v>
      </c>
    </row>
    <row r="27" spans="1:36" x14ac:dyDescent="0.35">
      <c r="A27" t="s">
        <v>25</v>
      </c>
      <c r="C27" t="s">
        <v>26</v>
      </c>
      <c r="D27">
        <v>6.01999007087735E-4</v>
      </c>
      <c r="E27">
        <v>-249.95164112018099</v>
      </c>
      <c r="G27">
        <v>4.2659999999999998E-3</v>
      </c>
    </row>
    <row r="28" spans="1:36" x14ac:dyDescent="0.35">
      <c r="D28">
        <v>0.88788125500000004</v>
      </c>
      <c r="G28">
        <v>1.7739999999999999E-2</v>
      </c>
    </row>
    <row r="29" spans="1:36" x14ac:dyDescent="0.35">
      <c r="A29" t="s">
        <v>60</v>
      </c>
      <c r="D29">
        <v>0.76219984569010701</v>
      </c>
      <c r="G29">
        <v>2.52152020138104E-2</v>
      </c>
    </row>
    <row r="31" spans="1:36" x14ac:dyDescent="0.35">
      <c r="A31" t="s">
        <v>61</v>
      </c>
      <c r="C31" t="s">
        <v>58</v>
      </c>
      <c r="D31">
        <v>0.74675215149792995</v>
      </c>
      <c r="G31">
        <v>2.1163383343483999E-2</v>
      </c>
    </row>
    <row r="32" spans="1:36" x14ac:dyDescent="0.35">
      <c r="D32">
        <v>0.63017380584554505</v>
      </c>
      <c r="E32">
        <v>-3.2990716374660299E-2</v>
      </c>
      <c r="G32">
        <v>2.1045612252032699E-2</v>
      </c>
    </row>
    <row r="33" spans="1:36" x14ac:dyDescent="0.35">
      <c r="A33" t="s">
        <v>60</v>
      </c>
      <c r="C33" t="s">
        <v>9</v>
      </c>
      <c r="D33">
        <v>6.4449454100000002E-4</v>
      </c>
      <c r="E33">
        <v>-200.2027836</v>
      </c>
      <c r="J33">
        <v>4.0255708910872698E-2</v>
      </c>
      <c r="L33">
        <v>2.09866287580761</v>
      </c>
      <c r="M33">
        <v>0.18253435679428101</v>
      </c>
      <c r="P33">
        <v>4.9312114473935598</v>
      </c>
      <c r="Q33">
        <v>-4.3803644866073297</v>
      </c>
      <c r="R33">
        <v>1.5692761444493599</v>
      </c>
      <c r="S33" t="s">
        <v>96</v>
      </c>
      <c r="U33">
        <v>7.9232421605776607E-2</v>
      </c>
      <c r="V33">
        <v>3.7243363873586302E-2</v>
      </c>
      <c r="W33">
        <v>2.95582241269002E-2</v>
      </c>
      <c r="X33">
        <v>5.1410013768431698E-2</v>
      </c>
      <c r="Y33">
        <v>4.71942381303962E-2</v>
      </c>
      <c r="Z33">
        <v>4.4741514161908302E-2</v>
      </c>
      <c r="AA33">
        <v>2.9367000480655301E-2</v>
      </c>
      <c r="AB33">
        <v>2.6902737767150301E-2</v>
      </c>
      <c r="AC33">
        <v>4.7749430375992601E-2</v>
      </c>
      <c r="AD33">
        <v>5.1278538706461999E-2</v>
      </c>
      <c r="AE33">
        <v>5.6652553401637801E-2</v>
      </c>
      <c r="AF33">
        <v>7.2142177547272798E-2</v>
      </c>
      <c r="AG33">
        <v>8.0250496748239794E-2</v>
      </c>
      <c r="AH33">
        <v>4.4707826414071401E-2</v>
      </c>
      <c r="AI33">
        <f t="shared" ref="AI26:AI33" si="7">AVERAGE(U33:AH33)</f>
        <v>4.9887895507748671E-2</v>
      </c>
      <c r="AJ33">
        <f t="shared" ref="AJ26:AJ33" si="8">MAX(U33:AH33)</f>
        <v>8.0250496748239794E-2</v>
      </c>
    </row>
    <row r="34" spans="1:36" x14ac:dyDescent="0.35">
      <c r="A34" t="s">
        <v>61</v>
      </c>
      <c r="C34" t="s">
        <v>9</v>
      </c>
      <c r="L34" t="s">
        <v>1</v>
      </c>
      <c r="M34" t="s">
        <v>8</v>
      </c>
      <c r="N34" t="s">
        <v>87</v>
      </c>
      <c r="P34" t="s">
        <v>30</v>
      </c>
      <c r="Q34" t="s">
        <v>31</v>
      </c>
      <c r="R34" t="s">
        <v>32</v>
      </c>
      <c r="S34" t="s">
        <v>98</v>
      </c>
    </row>
    <row r="35" spans="1:36" x14ac:dyDescent="0.35">
      <c r="J35">
        <v>3.89870962889153E-2</v>
      </c>
      <c r="K35" s="1" t="s">
        <v>97</v>
      </c>
      <c r="L35">
        <v>1.8638835365906199</v>
      </c>
      <c r="M35">
        <v>0.16581498957496801</v>
      </c>
      <c r="N35">
        <v>-0.48046352062154102</v>
      </c>
      <c r="P35">
        <v>4.5741858969398201</v>
      </c>
      <c r="Q35">
        <v>-4.1011461435979397</v>
      </c>
      <c r="R35">
        <v>1.4584557010947901</v>
      </c>
      <c r="S35" t="s">
        <v>99</v>
      </c>
      <c r="U35">
        <v>8.9936189601827796E-2</v>
      </c>
      <c r="V35">
        <v>4.0476937366221703E-2</v>
      </c>
      <c r="W35">
        <v>3.2468215084719601E-2</v>
      </c>
      <c r="X35">
        <v>5.5544571184050998E-2</v>
      </c>
      <c r="Y35">
        <v>4.7486349684181202E-2</v>
      </c>
      <c r="Z35">
        <v>4.7673347285440003E-2</v>
      </c>
      <c r="AA35">
        <v>2.73687819171811E-2</v>
      </c>
      <c r="AB35">
        <v>2.5837726323641199E-2</v>
      </c>
      <c r="AC35">
        <v>4.3817045294411501E-2</v>
      </c>
      <c r="AD35">
        <v>5.1283690290308499E-2</v>
      </c>
      <c r="AE35">
        <v>5.86790797149584E-2</v>
      </c>
      <c r="AF35">
        <v>7.1596047615446898E-2</v>
      </c>
      <c r="AG35">
        <v>7.9554823799804303E-2</v>
      </c>
      <c r="AH35">
        <v>4.8203858776284497E-2</v>
      </c>
      <c r="AI35">
        <f t="shared" ref="AI34:AI35" si="9">AVERAGE(U35:AH35)</f>
        <v>5.1423333138462694E-2</v>
      </c>
      <c r="AJ35">
        <f t="shared" ref="AJ35" si="10">MAX(U35:AH35)</f>
        <v>8.9936189601827796E-2</v>
      </c>
    </row>
    <row r="37" spans="1:36" x14ac:dyDescent="0.35">
      <c r="J37">
        <v>3.7520748444016698E-2</v>
      </c>
      <c r="L37">
        <v>0.989594327694723</v>
      </c>
      <c r="M37">
        <v>8.5130871844569703E-2</v>
      </c>
      <c r="P37">
        <v>-1.5490846097348201</v>
      </c>
      <c r="Q37">
        <v>3.76231558049522</v>
      </c>
      <c r="R37">
        <v>-1.84821482870778</v>
      </c>
      <c r="S37">
        <v>0.3213353087736</v>
      </c>
      <c r="U37">
        <v>8.5661474764733306E-2</v>
      </c>
      <c r="V37">
        <v>3.6551373174108101E-2</v>
      </c>
      <c r="W37">
        <v>3.2103521519558698E-2</v>
      </c>
      <c r="X37">
        <v>5.46457060890723E-2</v>
      </c>
      <c r="Y37">
        <v>4.6119407290820098E-2</v>
      </c>
      <c r="Z37">
        <v>4.6077557881249197E-2</v>
      </c>
      <c r="AA37">
        <v>2.6392124861984001E-2</v>
      </c>
      <c r="AB37">
        <v>2.4994157643032502E-2</v>
      </c>
      <c r="AC37">
        <v>4.1706500583473798E-2</v>
      </c>
      <c r="AD37">
        <v>5.1836528398500503E-2</v>
      </c>
      <c r="AE37">
        <v>5.8441655937159102E-2</v>
      </c>
      <c r="AF37">
        <v>7.1863141545323597E-2</v>
      </c>
      <c r="AG37">
        <v>7.8931333284229493E-2</v>
      </c>
      <c r="AH37">
        <v>4.5280566074442502E-2</v>
      </c>
      <c r="AI37">
        <f t="shared" ref="AI37" si="11">AVERAGE(U37:AH37)</f>
        <v>5.0043217789120513E-2</v>
      </c>
      <c r="AJ37">
        <f t="shared" ref="AJ37" si="12">MAX(U37:AH37)</f>
        <v>8.5661474764733306E-2</v>
      </c>
    </row>
    <row r="38" spans="1:36" x14ac:dyDescent="0.35">
      <c r="C38" s="1"/>
      <c r="D38" s="1"/>
      <c r="E38" s="1"/>
      <c r="F38" s="1"/>
      <c r="G38" s="1"/>
      <c r="H38" s="1"/>
      <c r="I38" s="1"/>
    </row>
    <row r="42" spans="1:36" x14ac:dyDescent="0.35">
      <c r="L42" t="s">
        <v>1</v>
      </c>
      <c r="M42" t="s">
        <v>8</v>
      </c>
      <c r="N42" t="s">
        <v>100</v>
      </c>
      <c r="P42" t="s">
        <v>30</v>
      </c>
      <c r="Q42" t="s">
        <v>31</v>
      </c>
      <c r="R42" t="s">
        <v>32</v>
      </c>
    </row>
    <row r="43" spans="1:36" x14ac:dyDescent="0.35">
      <c r="J43">
        <v>2.72606803189747E-2</v>
      </c>
      <c r="K43" s="5" t="s">
        <v>102</v>
      </c>
      <c r="L43">
        <v>0.50759338061038195</v>
      </c>
      <c r="M43">
        <v>4.6243804764304397E-2</v>
      </c>
      <c r="N43">
        <v>1.3016771263302001</v>
      </c>
      <c r="P43">
        <v>2.5440604555794399</v>
      </c>
      <c r="Q43">
        <v>-1.92668179653528</v>
      </c>
      <c r="R43">
        <v>0.59210973823463997</v>
      </c>
      <c r="U43">
        <v>5.0661355062223599E-2</v>
      </c>
      <c r="V43">
        <v>3.7598961922698897E-2</v>
      </c>
      <c r="W43">
        <v>3.9199152941822198E-2</v>
      </c>
      <c r="X43">
        <v>4.62344981307636E-2</v>
      </c>
      <c r="Y43">
        <v>5.5398284580927597E-2</v>
      </c>
      <c r="Z43">
        <v>5.3973297894156898E-2</v>
      </c>
      <c r="AA43">
        <v>3.5868981542491699E-2</v>
      </c>
      <c r="AB43">
        <v>3.0051497756079602E-2</v>
      </c>
      <c r="AC43">
        <v>4.40439956814766E-2</v>
      </c>
      <c r="AD43">
        <v>3.7386341742897802E-2</v>
      </c>
      <c r="AE43">
        <v>3.1701056031304298E-2</v>
      </c>
      <c r="AF43">
        <v>3.2596088296926E-2</v>
      </c>
      <c r="AG43">
        <v>5.5501385642346301E-2</v>
      </c>
      <c r="AH43">
        <v>6.8996382393689507E-2</v>
      </c>
      <c r="AI43">
        <f t="shared" ref="AI38:AI43" si="13">AVERAGE(U43:AH43)</f>
        <v>4.4229377115700338E-2</v>
      </c>
      <c r="AJ43">
        <f t="shared" ref="AJ38:AJ43" si="14">MAX(U43:AH43)</f>
        <v>6.8996382393689507E-2</v>
      </c>
    </row>
    <row r="44" spans="1:36" x14ac:dyDescent="0.35">
      <c r="A44">
        <v>0.2848</v>
      </c>
      <c r="B44">
        <v>2.75</v>
      </c>
      <c r="C44" t="s">
        <v>77</v>
      </c>
    </row>
    <row r="45" spans="1:36" x14ac:dyDescent="0.35">
      <c r="A45" t="s">
        <v>2</v>
      </c>
      <c r="B45" t="s">
        <v>43</v>
      </c>
      <c r="C45" t="s">
        <v>3</v>
      </c>
      <c r="D45" t="s">
        <v>27</v>
      </c>
      <c r="E45" t="s">
        <v>78</v>
      </c>
      <c r="F45" t="s">
        <v>4</v>
      </c>
      <c r="G45" t="s">
        <v>18</v>
      </c>
      <c r="H45" t="s">
        <v>41</v>
      </c>
      <c r="I45" t="s">
        <v>42</v>
      </c>
    </row>
    <row r="46" spans="1:36" x14ac:dyDescent="0.35">
      <c r="C46" t="s">
        <v>1</v>
      </c>
    </row>
    <row r="49" spans="1:9" x14ac:dyDescent="0.35">
      <c r="A49" t="s">
        <v>25</v>
      </c>
      <c r="C49" t="s">
        <v>26</v>
      </c>
    </row>
    <row r="51" spans="1:9" x14ac:dyDescent="0.35">
      <c r="A51" t="s">
        <v>60</v>
      </c>
      <c r="D51">
        <v>0.774571519272511</v>
      </c>
      <c r="E51">
        <v>1.50459391376</v>
      </c>
    </row>
    <row r="53" spans="1:9" x14ac:dyDescent="0.35">
      <c r="A53" t="s">
        <v>61</v>
      </c>
      <c r="C53" t="s">
        <v>58</v>
      </c>
    </row>
    <row r="55" spans="1:9" x14ac:dyDescent="0.35">
      <c r="A55" t="s">
        <v>60</v>
      </c>
      <c r="C55" t="s">
        <v>9</v>
      </c>
    </row>
    <row r="56" spans="1:9" x14ac:dyDescent="0.35">
      <c r="A56" t="s">
        <v>61</v>
      </c>
      <c r="C56" t="s">
        <v>9</v>
      </c>
    </row>
    <row r="60" spans="1:9" x14ac:dyDescent="0.35">
      <c r="C60" s="1"/>
      <c r="D60" s="1"/>
      <c r="E60" s="1"/>
      <c r="F60" s="1"/>
      <c r="G60" s="1"/>
      <c r="H60" s="1"/>
      <c r="I60" s="1"/>
    </row>
    <row r="68" spans="1:9" x14ac:dyDescent="0.35">
      <c r="A68" t="s">
        <v>12</v>
      </c>
      <c r="B68" s="5" t="s">
        <v>80</v>
      </c>
      <c r="E68" s="5" t="s">
        <v>81</v>
      </c>
      <c r="F68" s="5">
        <v>-1.1011873999999999</v>
      </c>
      <c r="G68">
        <v>-0.88103719599999997</v>
      </c>
    </row>
    <row r="69" spans="1:9" x14ac:dyDescent="0.35">
      <c r="A69" t="s">
        <v>11</v>
      </c>
      <c r="B69" s="5" t="s">
        <v>83</v>
      </c>
      <c r="E69" s="5"/>
      <c r="F69" s="5">
        <v>-0.83745220834717504</v>
      </c>
      <c r="G69">
        <v>-0.80838135</v>
      </c>
    </row>
    <row r="70" spans="1:9" x14ac:dyDescent="0.35">
      <c r="A70" t="s">
        <v>10</v>
      </c>
      <c r="B70" t="s">
        <v>82</v>
      </c>
      <c r="F70">
        <v>-0.76947469414722003</v>
      </c>
      <c r="G70">
        <v>-0.83552811599999999</v>
      </c>
      <c r="H70">
        <f>0.5*(G68-G70)</f>
        <v>-2.275453999999999E-2</v>
      </c>
    </row>
    <row r="71" spans="1:9" x14ac:dyDescent="0.35">
      <c r="A71" t="s">
        <v>84</v>
      </c>
      <c r="B71" t="s">
        <v>85</v>
      </c>
      <c r="F71">
        <v>-0.603827400858999</v>
      </c>
      <c r="G71">
        <v>-0.81929300000000005</v>
      </c>
      <c r="H71">
        <f>G70-G71</f>
        <v>-1.6235115999999938E-2</v>
      </c>
    </row>
    <row r="72" spans="1:9" x14ac:dyDescent="0.35">
      <c r="G72">
        <f>AVERAGE(G68:G71)</f>
        <v>-0.83605991550000003</v>
      </c>
    </row>
    <row r="74" spans="1:9" x14ac:dyDescent="0.35">
      <c r="A74" t="s">
        <v>47</v>
      </c>
      <c r="B74" t="s">
        <v>87</v>
      </c>
      <c r="C74" t="s">
        <v>30</v>
      </c>
      <c r="D74" t="s">
        <v>31</v>
      </c>
      <c r="E74" t="s">
        <v>32</v>
      </c>
      <c r="F74" t="s">
        <v>88</v>
      </c>
      <c r="G74" t="s">
        <v>89</v>
      </c>
      <c r="H74" t="s">
        <v>90</v>
      </c>
      <c r="I74" t="s">
        <v>67</v>
      </c>
    </row>
    <row r="75" spans="1:9" x14ac:dyDescent="0.35">
      <c r="A75" t="s">
        <v>86</v>
      </c>
      <c r="B75">
        <v>-0.29010000000000002</v>
      </c>
      <c r="C75">
        <v>0.61980000000000002</v>
      </c>
      <c r="D75">
        <v>-0.355485</v>
      </c>
      <c r="E75">
        <v>3.1904000000000002E-2</v>
      </c>
      <c r="F75">
        <v>1.7689999999999999</v>
      </c>
      <c r="G75">
        <v>2.1040000000000001</v>
      </c>
      <c r="H75">
        <v>2.6476000000000002</v>
      </c>
      <c r="I75">
        <v>2.0000000000000001E-4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350DB-0812-4A65-9006-709823148C8F}">
  <dimension ref="A1:X7"/>
  <sheetViews>
    <sheetView zoomScale="89" zoomScaleNormal="85" workbookViewId="0">
      <selection activeCell="C10" sqref="C10"/>
    </sheetView>
  </sheetViews>
  <sheetFormatPr defaultRowHeight="14.5" x14ac:dyDescent="0.35"/>
  <cols>
    <col min="1" max="1" width="10.54296875" customWidth="1"/>
    <col min="2" max="2" width="25.90625" customWidth="1"/>
    <col min="5" max="5" width="9" customWidth="1"/>
  </cols>
  <sheetData>
    <row r="1" spans="1:24" x14ac:dyDescent="0.35">
      <c r="A1" t="s">
        <v>47</v>
      </c>
      <c r="B1" t="s">
        <v>91</v>
      </c>
      <c r="C1" t="s">
        <v>92</v>
      </c>
      <c r="D1" t="s">
        <v>87</v>
      </c>
      <c r="E1" t="s">
        <v>100</v>
      </c>
      <c r="F1" t="s">
        <v>101</v>
      </c>
      <c r="G1" t="s">
        <v>67</v>
      </c>
      <c r="H1" t="s">
        <v>104</v>
      </c>
      <c r="I1">
        <v>4</v>
      </c>
      <c r="J1">
        <v>5</v>
      </c>
      <c r="K1">
        <v>6</v>
      </c>
      <c r="L1">
        <v>7</v>
      </c>
      <c r="M1">
        <v>8</v>
      </c>
      <c r="N1">
        <v>9</v>
      </c>
      <c r="O1">
        <v>10</v>
      </c>
      <c r="P1">
        <v>11</v>
      </c>
      <c r="Q1">
        <v>12</v>
      </c>
      <c r="R1">
        <v>13</v>
      </c>
      <c r="S1">
        <v>14</v>
      </c>
      <c r="T1">
        <v>15</v>
      </c>
      <c r="U1">
        <v>16</v>
      </c>
      <c r="V1">
        <v>17</v>
      </c>
      <c r="W1" t="s">
        <v>50</v>
      </c>
      <c r="X1" t="s">
        <v>71</v>
      </c>
    </row>
    <row r="2" spans="1:24" x14ac:dyDescent="0.35">
      <c r="A2" t="s">
        <v>1</v>
      </c>
      <c r="B2">
        <v>-1.52941746E-2</v>
      </c>
      <c r="C2">
        <v>-0.26365184000000003</v>
      </c>
      <c r="D2">
        <v>-0.93387710800000001</v>
      </c>
      <c r="E2">
        <v>0.41722646000000002</v>
      </c>
      <c r="F2">
        <v>-0.16931550000000001</v>
      </c>
      <c r="G2">
        <v>0.30962800000000001</v>
      </c>
      <c r="J2">
        <v>2.3350713576388502E-2</v>
      </c>
      <c r="K2">
        <v>1.46914698416472E-2</v>
      </c>
      <c r="L2">
        <v>4.4936701973624101E-2</v>
      </c>
      <c r="M2">
        <v>3.7394975243503097E-2</v>
      </c>
      <c r="N2">
        <v>3.2205634305248199E-2</v>
      </c>
      <c r="O2">
        <v>2.5145835575648801E-2</v>
      </c>
      <c r="P2">
        <v>2.1628688934551998E-2</v>
      </c>
      <c r="Q2">
        <v>3.3354814042705502E-2</v>
      </c>
      <c r="R2">
        <v>5.3121270572796302E-2</v>
      </c>
      <c r="S2">
        <v>5.9079478448391398E-2</v>
      </c>
      <c r="T2">
        <v>6.9527752874173995E-2</v>
      </c>
      <c r="U2">
        <v>7.7592666501332896E-2</v>
      </c>
      <c r="V2">
        <v>3.7486775885112497E-2</v>
      </c>
      <c r="W2">
        <f>AVERAGE(I2:V2)</f>
        <v>4.0732059828855735E-2</v>
      </c>
      <c r="X2">
        <f>MAX(I2:W2)</f>
        <v>7.7592666501332896E-2</v>
      </c>
    </row>
    <row r="3" spans="1:24" x14ac:dyDescent="0.35">
      <c r="A3" t="s">
        <v>8</v>
      </c>
      <c r="B3" s="3">
        <v>-8.2218699999999999E-5</v>
      </c>
      <c r="C3">
        <v>-0.27539566799999998</v>
      </c>
      <c r="D3">
        <v>-0.22193830000000001</v>
      </c>
    </row>
    <row r="4" spans="1:24" x14ac:dyDescent="0.35">
      <c r="A4" t="s">
        <v>103</v>
      </c>
      <c r="B4">
        <v>4.4688721909179198E-2</v>
      </c>
      <c r="C4">
        <v>-0.38826361874965998</v>
      </c>
      <c r="D4">
        <v>0.71755506256627899</v>
      </c>
      <c r="G4">
        <v>8.2466795331835305E-2</v>
      </c>
      <c r="H4" t="s">
        <v>105</v>
      </c>
    </row>
    <row r="5" spans="1:24" x14ac:dyDescent="0.35">
      <c r="A5" t="s">
        <v>87</v>
      </c>
      <c r="B5">
        <v>0.19910990463272599</v>
      </c>
      <c r="C5">
        <v>0.214250252588778</v>
      </c>
      <c r="D5">
        <v>1.2896344205815999</v>
      </c>
      <c r="G5">
        <v>3.5400000000000001E-2</v>
      </c>
    </row>
    <row r="6" spans="1:24" x14ac:dyDescent="0.35">
      <c r="A6" t="s">
        <v>103</v>
      </c>
      <c r="B6">
        <v>4.4865596561655702E-2</v>
      </c>
      <c r="C6">
        <v>-0.39010024540548999</v>
      </c>
      <c r="D6">
        <v>0.71483641405540199</v>
      </c>
      <c r="G6">
        <v>0.1178</v>
      </c>
      <c r="H6" t="s">
        <v>106</v>
      </c>
    </row>
    <row r="7" spans="1:24" x14ac:dyDescent="0.35">
      <c r="A7" t="s">
        <v>87</v>
      </c>
      <c r="B7">
        <v>0.199117120271432</v>
      </c>
      <c r="C7">
        <v>0.22030569466153399</v>
      </c>
      <c r="D7">
        <v>1.29292516365515</v>
      </c>
      <c r="G7">
        <v>0.1178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DAD41-A425-4EAC-AD0C-C227B2ECDB4F}">
  <dimension ref="A1"/>
  <sheetViews>
    <sheetView zoomScale="90" workbookViewId="0">
      <selection activeCell="J9" sqref="J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Lotgering</vt:lpstr>
      <vt:lpstr>Sheet2</vt:lpstr>
      <vt:lpstr>BellLot</vt:lpstr>
      <vt:lpstr>Branched Alkanes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 S</dc:creator>
  <cp:lastModifiedBy>Huang, Eric S</cp:lastModifiedBy>
  <dcterms:created xsi:type="dcterms:W3CDTF">2025-10-15T12:49:38Z</dcterms:created>
  <dcterms:modified xsi:type="dcterms:W3CDTF">2025-11-04T13:46:32Z</dcterms:modified>
</cp:coreProperties>
</file>