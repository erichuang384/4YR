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h\OneDrive\Documents\Y4\4YR\Optimization Results\"/>
    </mc:Choice>
  </mc:AlternateContent>
  <xr:revisionPtr revIDLastSave="0" documentId="13_ncr:1_{300D7AA4-D938-4134-9452-47751D8B5FC3}" xr6:coauthVersionLast="47" xr6:coauthVersionMax="47" xr10:uidLastSave="{00000000-0000-0000-0000-000000000000}"/>
  <bookViews>
    <workbookView xWindow="-110" yWindow="-110" windowWidth="19420" windowHeight="10420" activeTab="4" xr2:uid="{88A93044-632C-4EB3-AA7B-B27E1E261106}"/>
  </bookViews>
  <sheets>
    <sheet name="Sheet1" sheetId="1" r:id="rId1"/>
    <sheet name="Lotgering" sheetId="2" r:id="rId2"/>
    <sheet name="Sheet2" sheetId="3" r:id="rId3"/>
    <sheet name="Tau" sheetId="6" r:id="rId4"/>
    <sheet name="BellLot" sheetId="5" r:id="rId5"/>
    <sheet name="Branched Alkane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5" l="1"/>
  <c r="Z7" i="5" s="1"/>
  <c r="AF7" i="5"/>
  <c r="AG7" i="5" s="1"/>
  <c r="AF3" i="5"/>
  <c r="AG3" i="5" s="1"/>
  <c r="AF4" i="5"/>
  <c r="AG4" i="5" s="1"/>
  <c r="AF5" i="5"/>
  <c r="AG5" i="5" s="1"/>
  <c r="AF6" i="5"/>
  <c r="AG6" i="5" s="1"/>
  <c r="Y5" i="5"/>
  <c r="Z5" i="5" s="1"/>
  <c r="Y6" i="5"/>
  <c r="Z6" i="5" s="1"/>
  <c r="H29" i="5"/>
  <c r="J29" i="5" s="1"/>
  <c r="H30" i="5"/>
  <c r="J30" i="5" s="1"/>
  <c r="H31" i="5"/>
  <c r="J31" i="5" s="1"/>
  <c r="H32" i="5"/>
  <c r="J32" i="5" s="1"/>
  <c r="H33" i="5"/>
  <c r="J33" i="5" s="1"/>
  <c r="H34" i="5"/>
  <c r="J34" i="5" s="1"/>
  <c r="H35" i="5"/>
  <c r="J35" i="5" s="1"/>
  <c r="H36" i="5"/>
  <c r="J36" i="5" s="1"/>
  <c r="AI3" i="4"/>
  <c r="AH3" i="4"/>
  <c r="AI48" i="3"/>
  <c r="AJ48" i="3"/>
  <c r="Y4" i="5"/>
  <c r="Z4" i="5" s="1"/>
  <c r="B29" i="5"/>
  <c r="D29" i="5" s="1"/>
  <c r="I29" i="5" s="1"/>
  <c r="B30" i="5"/>
  <c r="D30" i="5" s="1"/>
  <c r="I30" i="5" s="1"/>
  <c r="B31" i="5"/>
  <c r="D31" i="5" s="1"/>
  <c r="I31" i="5" s="1"/>
  <c r="B32" i="5"/>
  <c r="D32" i="5" s="1"/>
  <c r="I32" i="5" s="1"/>
  <c r="B33" i="5"/>
  <c r="D33" i="5" s="1"/>
  <c r="I33" i="5" s="1"/>
  <c r="B34" i="5"/>
  <c r="D34" i="5" s="1"/>
  <c r="I34" i="5" s="1"/>
  <c r="B35" i="5"/>
  <c r="D35" i="5" s="1"/>
  <c r="I35" i="5" s="1"/>
  <c r="B36" i="5"/>
  <c r="D36" i="5" s="1"/>
  <c r="I36" i="5" s="1"/>
  <c r="AI43" i="3"/>
  <c r="AJ43" i="3"/>
  <c r="Y3" i="5"/>
  <c r="Z3" i="5" s="1"/>
  <c r="AI37" i="3"/>
  <c r="AJ37" i="3"/>
  <c r="AI35" i="3"/>
  <c r="AJ35" i="3"/>
  <c r="AI33" i="3"/>
  <c r="AJ33" i="3"/>
  <c r="J37" i="5" l="1"/>
  <c r="I37" i="5"/>
  <c r="AJ24" i="3"/>
  <c r="AI25" i="3"/>
  <c r="AJ25" i="3"/>
  <c r="AI23" i="3"/>
  <c r="AJ23" i="3"/>
  <c r="G72" i="3"/>
  <c r="H70" i="3"/>
  <c r="H71" i="3"/>
  <c r="AI5" i="3"/>
  <c r="AI7" i="3"/>
  <c r="AI2" i="3"/>
  <c r="AJ3" i="3"/>
  <c r="AJ4" i="3"/>
  <c r="AJ5" i="3"/>
  <c r="AJ6" i="3"/>
  <c r="AJ7" i="3"/>
  <c r="AJ2" i="3"/>
  <c r="G2" i="3"/>
  <c r="D2" i="3"/>
  <c r="G21" i="1"/>
  <c r="K21" i="1" s="1"/>
  <c r="G22" i="1"/>
  <c r="K22" i="1" s="1"/>
  <c r="G23" i="1"/>
  <c r="K23" i="1" s="1"/>
  <c r="G24" i="1"/>
  <c r="K24" i="1" s="1"/>
  <c r="G25" i="1"/>
  <c r="K25" i="1" s="1"/>
  <c r="D12" i="1"/>
  <c r="D13" i="1"/>
  <c r="D14" i="1"/>
  <c r="F29" i="1"/>
  <c r="I29" i="1" s="1"/>
  <c r="F30" i="1"/>
  <c r="I30" i="1" s="1"/>
  <c r="F31" i="1"/>
  <c r="I31" i="1" s="1"/>
  <c r="F32" i="1"/>
  <c r="I32" i="1" s="1"/>
  <c r="F33" i="1"/>
  <c r="I33" i="1" s="1"/>
  <c r="E29" i="1"/>
  <c r="H29" i="1" s="1"/>
  <c r="G39" i="1"/>
  <c r="G38" i="1"/>
  <c r="G37" i="1"/>
  <c r="D53" i="1"/>
  <c r="E53" i="1"/>
  <c r="C53" i="1"/>
  <c r="D51" i="1"/>
  <c r="E51" i="1"/>
  <c r="G36" i="1"/>
  <c r="E31" i="1"/>
  <c r="H31" i="1" s="1"/>
  <c r="E30" i="1"/>
  <c r="H30" i="1" s="1"/>
  <c r="E32" i="1"/>
  <c r="H32" i="1" s="1"/>
  <c r="E33" i="1"/>
  <c r="H33" i="1" s="1"/>
  <c r="C51" i="1"/>
  <c r="D10" i="1"/>
  <c r="D11" i="1"/>
  <c r="E50" i="1"/>
  <c r="D50" i="1"/>
  <c r="C50" i="1"/>
  <c r="C49" i="1"/>
  <c r="D49" i="1"/>
  <c r="E49" i="1"/>
  <c r="D9" i="1"/>
  <c r="F22" i="1"/>
  <c r="J22" i="1" s="1"/>
  <c r="F23" i="1"/>
  <c r="J23" i="1" s="1"/>
  <c r="F24" i="1"/>
  <c r="J24" i="1" s="1"/>
  <c r="F25" i="1"/>
  <c r="J25" i="1" s="1"/>
  <c r="F21" i="1"/>
  <c r="J21" i="1" s="1"/>
  <c r="E22" i="1"/>
  <c r="I22" i="1" s="1"/>
  <c r="E23" i="1"/>
  <c r="I23" i="1" s="1"/>
  <c r="E24" i="1"/>
  <c r="I24" i="1" s="1"/>
  <c r="E25" i="1"/>
  <c r="I25" i="1" s="1"/>
  <c r="E21" i="1"/>
  <c r="I21" i="1" s="1"/>
  <c r="K26" i="1" l="1"/>
  <c r="G40" i="1"/>
  <c r="H35" i="1" s="1"/>
  <c r="I26" i="1"/>
  <c r="J26" i="1"/>
  <c r="H37" i="1" l="1"/>
  <c r="H38" i="1"/>
  <c r="H36" i="1"/>
  <c r="H39" i="1"/>
  <c r="H40" i="1" l="1"/>
</calcChain>
</file>

<file path=xl/sharedStrings.xml><?xml version="1.0" encoding="utf-8"?>
<sst xmlns="http://schemas.openxmlformats.org/spreadsheetml/2006/main" count="405" uniqueCount="177">
  <si>
    <t>Ethane</t>
  </si>
  <si>
    <t>CH3</t>
  </si>
  <si>
    <t>Fluids Trained on</t>
  </si>
  <si>
    <t>Groups Optimized</t>
  </si>
  <si>
    <t>Pure Fluid</t>
  </si>
  <si>
    <t>C8, C10, C12, C14, C16</t>
  </si>
  <si>
    <t>"CH3","CH2"</t>
  </si>
  <si>
    <t>Fluid</t>
  </si>
  <si>
    <t>CH2</t>
  </si>
  <si>
    <t>Pure</t>
  </si>
  <si>
    <t>Octane</t>
  </si>
  <si>
    <t>Decane</t>
  </si>
  <si>
    <t>Dodecane</t>
  </si>
  <si>
    <t>Tetradecane</t>
  </si>
  <si>
    <t>Hexadecane</t>
  </si>
  <si>
    <t>Difference</t>
  </si>
  <si>
    <t>N points</t>
  </si>
  <si>
    <t>N used</t>
  </si>
  <si>
    <t>Note</t>
  </si>
  <si>
    <t>Equally Weighted</t>
  </si>
  <si>
    <t>Added all errors, biased on higher data points</t>
  </si>
  <si>
    <t>GCM 1</t>
  </si>
  <si>
    <t>GCM 2</t>
  </si>
  <si>
    <t>0.476193*</t>
  </si>
  <si>
    <t>CH3 from pure Ethane</t>
  </si>
  <si>
    <t>Benzene</t>
  </si>
  <si>
    <t>aCH</t>
  </si>
  <si>
    <t>Value</t>
  </si>
  <si>
    <t>Value2</t>
  </si>
  <si>
    <t>Group</t>
  </si>
  <si>
    <t>n1</t>
  </si>
  <si>
    <t>n2</t>
  </si>
  <si>
    <t>n3</t>
  </si>
  <si>
    <t>Global</t>
  </si>
  <si>
    <t>aCH 3param</t>
  </si>
  <si>
    <t>AAD optimized</t>
  </si>
  <si>
    <t>MSE</t>
  </si>
  <si>
    <t>No group 2</t>
  </si>
  <si>
    <t>New global, MSE</t>
  </si>
  <si>
    <t>AAD squared</t>
  </si>
  <si>
    <t>AAD</t>
  </si>
  <si>
    <t>AAD train</t>
  </si>
  <si>
    <t>AAD 1bar</t>
  </si>
  <si>
    <t>Model</t>
  </si>
  <si>
    <t>4 param</t>
  </si>
  <si>
    <t>3 param</t>
  </si>
  <si>
    <t>No group 2,8</t>
  </si>
  <si>
    <t>Column1</t>
  </si>
  <si>
    <t>4 Param</t>
  </si>
  <si>
    <t>3 Param</t>
  </si>
  <si>
    <t>Mean</t>
  </si>
  <si>
    <t>Difference 2</t>
  </si>
  <si>
    <t>GCM 3</t>
  </si>
  <si>
    <t>Difference 3</t>
  </si>
  <si>
    <t>a</t>
  </si>
  <si>
    <t>b</t>
  </si>
  <si>
    <t>c</t>
  </si>
  <si>
    <t>Cyclopentane, Cyclohexane</t>
  </si>
  <si>
    <t>cCH2</t>
  </si>
  <si>
    <t>0.148908 for no T</t>
  </si>
  <si>
    <t>Cyclohexane</t>
  </si>
  <si>
    <t>Cyclopentane</t>
  </si>
  <si>
    <t>ng3</t>
  </si>
  <si>
    <t>exponent</t>
  </si>
  <si>
    <t>(1-ln(T))</t>
  </si>
  <si>
    <t>T CH3</t>
  </si>
  <si>
    <t>T CH2</t>
  </si>
  <si>
    <t>f</t>
  </si>
  <si>
    <t>1-T</t>
  </si>
  <si>
    <t>In VS</t>
  </si>
  <si>
    <t>IN JULIA</t>
  </si>
  <si>
    <t>Max</t>
  </si>
  <si>
    <t>Separate T</t>
  </si>
  <si>
    <t>VS</t>
  </si>
  <si>
    <t>1+c(T/TC)</t>
  </si>
  <si>
    <t>1-Xln(T)</t>
  </si>
  <si>
    <t>C in front</t>
  </si>
  <si>
    <t>C not 1</t>
  </si>
  <si>
    <t>Value Constant</t>
  </si>
  <si>
    <t>1/C</t>
  </si>
  <si>
    <t>[0.7967156548650978, -0.26998738623127144, 0.029674782148938414]</t>
  </si>
  <si>
    <t>[ 1.5, 2.1, 2.7]</t>
  </si>
  <si>
    <t>0.7081113071031407, -0.2506396131731235, 0.029855992324092917</t>
  </si>
  <si>
    <t>0.7478939661203835, -0.2649284354192793, 0.031123786073050424</t>
  </si>
  <si>
    <t>Hexane</t>
  </si>
  <si>
    <t xml:space="preserve"> 0.6413367923168263, -0.2205683628271185, 0.02612208898198096</t>
  </si>
  <si>
    <t>Butane</t>
  </si>
  <si>
    <t>C</t>
  </si>
  <si>
    <t>e1</t>
  </si>
  <si>
    <t>e2</t>
  </si>
  <si>
    <t>e3</t>
  </si>
  <si>
    <t>A</t>
  </si>
  <si>
    <t>B</t>
  </si>
  <si>
    <t>Equation</t>
  </si>
  <si>
    <t>AB^T, same exponents</t>
  </si>
  <si>
    <t>log(AB^T)+</t>
  </si>
  <si>
    <t>Original Equation</t>
  </si>
  <si>
    <t>TRY THIS WITH TEMP T</t>
  </si>
  <si>
    <t>n4</t>
  </si>
  <si>
    <t>C/xi +</t>
  </si>
  <si>
    <t>gamma</t>
  </si>
  <si>
    <t>D</t>
  </si>
  <si>
    <t>s_red = ((-s_res ./ R) ^ gamma) ./ log(T)</t>
  </si>
  <si>
    <t>CH</t>
  </si>
  <si>
    <t>Column2</t>
  </si>
  <si>
    <t>Train CH C separate, no squalane</t>
  </si>
  <si>
    <t>Train CH C together</t>
  </si>
  <si>
    <t>Mw</t>
  </si>
  <si>
    <t>Substance</t>
  </si>
  <si>
    <t>Predict</t>
  </si>
  <si>
    <t>D_1</t>
  </si>
  <si>
    <t>D_2</t>
  </si>
  <si>
    <t>Best parameters found:</t>
  </si>
  <si>
    <t>s_red .^ τ ./ (log.(T))</t>
  </si>
  <si>
    <t>Heptane</t>
  </si>
  <si>
    <t>Nonane</t>
  </si>
  <si>
    <t>Undecane</t>
  </si>
  <si>
    <t>Tridecane</t>
  </si>
  <si>
    <t>Pentadecane</t>
  </si>
  <si>
    <t>Heptadecane</t>
  </si>
  <si>
    <t>Tau</t>
  </si>
  <si>
    <t>2,2,4-trimethylpentane</t>
  </si>
  <si>
    <t>2,6,10,14-tetramethylpentadecane</t>
  </si>
  <si>
    <t>Isobutane</t>
  </si>
  <si>
    <t>Isopentane</t>
  </si>
  <si>
    <t>Isohexane</t>
  </si>
  <si>
    <t>heptamethylnonane</t>
  </si>
  <si>
    <t>Squalane</t>
  </si>
  <si>
    <t>s_red .^ τ ./ (m_gc*log.(T))</t>
  </si>
  <si>
    <t>Bell</t>
  </si>
  <si>
    <t>Tau CH3</t>
  </si>
  <si>
    <t>Tau CH2</t>
  </si>
  <si>
    <t>Tau CH1</t>
  </si>
  <si>
    <t>Not optimized</t>
  </si>
  <si>
    <t>2.544060456, -1.926681797,   0.592109738</t>
  </si>
  <si>
    <t>CH3 tau</t>
  </si>
  <si>
    <t>CH2 tau</t>
  </si>
  <si>
    <t>AADs</t>
  </si>
  <si>
    <t>IsoButane</t>
  </si>
  <si>
    <t>Optimized n-alkane first</t>
  </si>
  <si>
    <t>Bell same ref, mole frac tau</t>
  </si>
  <si>
    <t>Tau C</t>
  </si>
  <si>
    <t>Optimized all togther, tau on numerator. Didn't optimize n1n2n3.</t>
  </si>
  <si>
    <t>Optimized all togther, with all n-alkanes an branched, tau on s+</t>
  </si>
  <si>
    <t>Lotgering</t>
  </si>
  <si>
    <t>Gamma</t>
  </si>
  <si>
    <t>With no D, and molar averaged tau on lnT</t>
  </si>
  <si>
    <t>From constant D</t>
  </si>
  <si>
    <t>AAD constant</t>
  </si>
  <si>
    <t>[-0.01624894337629281, -1.301165291621945, -13.215313775983047, 0.0002930107667325401, -1.0119176576567603, -2.9913861277034095, 0.9398598696444294, 0.6051835635751702, 0.4377936753992907, -7.176085782561574]</t>
  </si>
  <si>
    <t>With D, and molar averaged tau on lnT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</si>
  <si>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</si>
  <si>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</si>
  <si>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</si>
  <si>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</si>
  <si>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</si>
  <si>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</si>
  <si>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</si>
  <si>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</si>
  <si>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</si>
  <si>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</si>
  <si>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</si>
  <si>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</si>
  <si>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</si>
  <si>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Results</t>
  </si>
  <si>
    <t>model 1</t>
  </si>
  <si>
    <t>model 3</t>
  </si>
  <si>
    <t>model 4</t>
  </si>
  <si>
    <t>Model 4</t>
  </si>
  <si>
    <t>Model 1</t>
  </si>
  <si>
    <t>Model 3</t>
  </si>
  <si>
    <t>No squalane</t>
  </si>
  <si>
    <t>0.03930050901260097, -1.5984961240693298, 10.093752915195292, 0.5604734970596769</t>
  </si>
  <si>
    <t>With squalane</t>
  </si>
  <si>
    <t>Mean Branched</t>
  </si>
  <si>
    <t>Max Branched</t>
  </si>
  <si>
    <t>Tau vdw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</si>
</sst>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6A9955"/>
      <name val="Consolas"/>
      <family val="3"/>
    </font>
    <font>
      <sz val="14"/>
      <name val="Consolas"/>
      <family val="3"/>
    </font>
    <font>
      <sz val="7"/>
      <color theme="1"/>
      <name val="Consolas"/>
      <family val="3"/>
    </font>
    <font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383679</xdr:colOff>
      <xdr:row>0</xdr:row>
      <xdr:rowOff>0</xdr:rowOff>
    </xdr:from>
    <xdr:to>
      <xdr:col>19</xdr:col>
      <xdr:colOff>436808</xdr:colOff>
      <xdr:row>8</xdr:row>
      <xdr:rowOff>110888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E9C6B-044A-D334-3535-7396AB4D6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24020" y="0"/>
          <a:ext cx="6165004" cy="161179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A66F0-5CDE-4693-B5EB-030664FECFD0}" name="Table1" displayName="Table1" ref="A1:I14" totalsRowShown="0">
  <autoFilter ref="A1:I14" xr:uid="{F95A66F0-5CDE-4693-B5EB-030664FECFD0}"/>
  <tableColumns count="9">
    <tableColumn id="1" xr3:uid="{B5E4B7B6-9362-4246-A88E-8F05B57FFD0E}" name="Fluids Trained on"/>
    <tableColumn id="9" xr3:uid="{00BD8D30-14FD-47A3-91E5-AC8711A8B7B9}" name="Model"/>
    <tableColumn id="2" xr3:uid="{ED3A6FB9-0462-4578-ADC0-906C39D36AAB}" name="Groups Optimized"/>
    <tableColumn id="3" xr3:uid="{61A81279-1319-4729-B6FA-FD4A4B773FE9}" name="Value"/>
    <tableColumn id="4" xr3:uid="{4AC1DFD0-F678-40E1-AB6D-7FB19A2D0A8C}" name="Value2"/>
    <tableColumn id="5" xr3:uid="{A481CB18-AF86-451C-AFCD-840CABF857ED}" name="Pure Fluid"/>
    <tableColumn id="6" xr3:uid="{DCA15683-D340-4F99-8D6E-C1E9BD8F6EFF}" name="Note"/>
    <tableColumn id="7" xr3:uid="{50E4D9CE-6185-4EB6-BDC4-835B18DA7F1A}" name="AAD train"/>
    <tableColumn id="8" xr3:uid="{05F19A85-DE21-44A6-B0DC-B7ADF6DBC933}" name="AAD 1b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C54D7D-C641-4A51-B68D-3600ED94239A}" name="Table4" displayName="Table4" ref="A20:M26" totalsRowCount="1">
  <autoFilter ref="A20:M25" xr:uid="{0AC54D7D-C641-4A51-B68D-3600ED94239A}"/>
  <tableColumns count="13">
    <tableColumn id="1" xr3:uid="{F9490CCF-DB4F-4025-9539-3FBA42B8BB7F}" name="Fluid"/>
    <tableColumn id="2" xr3:uid="{5CE0F296-91A8-4EF8-AC13-595441C52252}" name="Column1"/>
    <tableColumn id="3" xr3:uid="{68CC88F9-7D98-4AA4-9785-E275D013AA5E}" name="CH3"/>
    <tableColumn id="4" xr3:uid="{52B161C5-D0CD-475C-8017-CF737692795C}" name="CH2"/>
    <tableColumn id="5" xr3:uid="{AFEE3996-D216-4741-8A45-41FFA82390E4}" name="GCM 1">
      <calculatedColumnFormula>C21*$D$3+D21*$E$3</calculatedColumnFormula>
    </tableColumn>
    <tableColumn id="6" xr3:uid="{32AF83E8-914D-494C-AC49-87DA2A6881F5}" name="GCM 2">
      <calculatedColumnFormula>C21*$D$4+D21*$E$4</calculatedColumnFormula>
    </tableColumn>
    <tableColumn id="12" xr3:uid="{E2A4A0D4-8AC3-4A36-9CA8-6647FAD0283F}" name="GCM 3" dataDxfId="26" totalsRowDxfId="25">
      <calculatedColumnFormula>Table4[[#This Row],[CH3]]*$D$2+Table4[[#This Row],[CH2]]*$E$5</calculatedColumnFormula>
    </tableColumn>
    <tableColumn id="7" xr3:uid="{2D171608-E864-4101-99C3-32D2EE2A54DC}" name="Pure"/>
    <tableColumn id="8" xr3:uid="{ED7085C9-F955-4B3C-9E38-073F175CE503}" name="Difference" totalsRowFunction="custom" dataDxfId="24" totalsRowDxfId="23">
      <calculatedColumnFormula>ABS(H21-E21)/H21*100</calculatedColumnFormula>
      <totalsRowFormula>AVERAGE(I21:I25)</totalsRowFormula>
    </tableColumn>
    <tableColumn id="9" xr3:uid="{2BD36278-E2C6-4497-8026-16728A2C6AB0}" name="Difference 2" totalsRowFunction="custom" dataDxfId="22" totalsRowDxfId="21">
      <calculatedColumnFormula>ABS(H21-F21)/H21*100</calculatedColumnFormula>
      <totalsRowFormula>AVERAGE(J21:J25)</totalsRowFormula>
    </tableColumn>
    <tableColumn id="14" xr3:uid="{5422C88A-2CF1-4A8A-AE7C-056F23DBEC58}" name="Difference 3" totalsRowFunction="custom" dataDxfId="20" totalsRowDxfId="19">
      <calculatedColumnFormula>ABS(H21-G21)/H21*100</calculatedColumnFormula>
      <totalsRowFormula>AVERAGE(K21:K25)</totalsRowFormula>
    </tableColumn>
    <tableColumn id="10" xr3:uid="{9D597197-681A-4EE9-B21B-A915E6EF771F}" name="N points"/>
    <tableColumn id="11" xr3:uid="{9EC3DDDE-09CE-4C98-966F-02183251925B}" name="N us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773D0A-EA6C-4665-8CCB-0EC7752FAEEB}" name="Table48" displayName="Table48" ref="A28:K33" totalsRowShown="0">
  <autoFilter ref="A28:K33" xr:uid="{44773D0A-EA6C-4665-8CCB-0EC7752FAEEB}"/>
  <tableColumns count="11">
    <tableColumn id="1" xr3:uid="{D7B3CCCA-24EA-40B3-8FB8-3F79941F7067}" name="Fluid"/>
    <tableColumn id="2" xr3:uid="{49C412A1-028A-4F0F-A593-3100F6A78A91}" name="Column1"/>
    <tableColumn id="3" xr3:uid="{F69727FB-DD64-48AD-8706-34EB7BD91D35}" name="CH3"/>
    <tableColumn id="4" xr3:uid="{37A5195A-E5CC-40B2-9108-3274C7C6D071}" name="CH2"/>
    <tableColumn id="5" xr3:uid="{4A63C5F1-23E6-4C05-A339-D14F58329BA4}" name="GCM 1" dataDxfId="18">
      <calculatedColumnFormula>C29*$D$6+D29*$E$6</calculatedColumnFormula>
    </tableColumn>
    <tableColumn id="6" xr3:uid="{235D8C18-3F98-4FA2-877F-F3E243A6822E}" name="GCM 2" dataDxfId="17">
      <calculatedColumnFormula>C29*$D$7+D29*$E$7</calculatedColumnFormula>
    </tableColumn>
    <tableColumn id="7" xr3:uid="{DE73E0FE-F53D-455B-A920-A2C055C06B54}" name="Pure"/>
    <tableColumn id="8" xr3:uid="{83A6A24A-A67F-4C66-805B-90E0325F147F}" name="Difference" dataDxfId="16">
      <calculatedColumnFormula>ABS(G29-E29)/G29*100</calculatedColumnFormula>
    </tableColumn>
    <tableColumn id="9" xr3:uid="{6D9BDE64-FE3C-49CA-B60C-0038714B8D03}" name="Difference 2" dataDxfId="15">
      <calculatedColumnFormula>ABS(G29-F29)/G29*100</calculatedColumnFormula>
    </tableColumn>
    <tableColumn id="10" xr3:uid="{12E53D6D-1F9F-4F53-8C55-7FFF531EF38C}" name="N points"/>
    <tableColumn id="11" xr3:uid="{1253E97D-D198-42F0-A8B6-C2AA54079043}" name="N u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492FF3-FF0D-45CD-A669-4B1B74C8B5A8}" name="Table13" displayName="Table13" ref="A1:I14" totalsRowShown="0">
  <autoFilter ref="A1:I14" xr:uid="{D0492FF3-FF0D-45CD-A669-4B1B74C8B5A8}"/>
  <tableColumns count="9">
    <tableColumn id="1" xr3:uid="{7CB245E9-AED2-466C-86F0-2BA82079AF7F}" name="Fluids Trained on"/>
    <tableColumn id="9" xr3:uid="{FD5004C8-4014-449B-99C7-44BF1881E5E0}" name="Model"/>
    <tableColumn id="2" xr3:uid="{40F4A77F-9053-494E-940E-0558051D5C0A}" name="Groups Optimized"/>
    <tableColumn id="3" xr3:uid="{3DF74780-DD22-4EE9-9A0D-C09514ADC43D}" name="Value" dataDxfId="14">
      <calculatedColumnFormula>1.11096/6</calculatedColumnFormula>
    </tableColumn>
    <tableColumn id="4" xr3:uid="{49703CF6-FB85-4EBB-924B-B33B5B1ABAC6}" name="Value2"/>
    <tableColumn id="5" xr3:uid="{8963CD0C-60D2-4549-B33B-2A3FA55A66BD}" name="Pure Fluid"/>
    <tableColumn id="6" xr3:uid="{C04F4932-8443-4858-8FD7-2A00D3B28449}" name="Note"/>
    <tableColumn id="7" xr3:uid="{E377CF53-FA72-448C-8D75-B9B45C2023E2}" name="AAD train"/>
    <tableColumn id="8" xr3:uid="{4D42C470-C77A-410B-9161-F10894ED32AD}" name="AAD 1b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D2F46B-1CED-4A27-A9DE-7E8FCCA33933}" name="Table134" displayName="Table134" ref="A26:I40" totalsRowShown="0">
  <autoFilter ref="A26:I40" xr:uid="{C9D2F46B-1CED-4A27-A9DE-7E8FCCA33933}"/>
  <tableColumns count="9">
    <tableColumn id="1" xr3:uid="{B1D064EA-1119-40B2-B361-F9DC470473DE}" name="Fluids Trained on"/>
    <tableColumn id="9" xr3:uid="{4614633E-F688-4AFA-904E-0100A5CE7CE9}" name="Model"/>
    <tableColumn id="2" xr3:uid="{3F42E0F3-B1D6-4855-A826-C4181860F341}" name="Groups Optimized"/>
    <tableColumn id="3" xr3:uid="{732CFF55-F808-450F-A12B-2AFAB3F6C0A7}" name="Value" dataDxfId="13">
      <calculatedColumnFormula>1.11096/6</calculatedColumnFormula>
    </tableColumn>
    <tableColumn id="4" xr3:uid="{0751B835-A6F6-4DBE-B006-3FF96AB0D847}" name="Value2"/>
    <tableColumn id="5" xr3:uid="{FF3286A2-F5FB-4A13-A184-210E0599F50E}" name="Pure Fluid"/>
    <tableColumn id="6" xr3:uid="{747C1A42-4776-48DE-B169-C51FCD75D666}" name="Note"/>
    <tableColumn id="7" xr3:uid="{D5024ACF-E705-420D-A2B8-A6FF34EB2F34}" name="AAD train"/>
    <tableColumn id="8" xr3:uid="{6A6A4C80-56D6-4C67-A68F-A3CEA8C5990F}" name="AAD 1b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317142-EEDD-4872-8AF0-B4B96AE35B3B}" name="Table1346" displayName="Table1346" ref="A45:I62" totalsRowShown="0">
  <autoFilter ref="A45:I62" xr:uid="{26317142-EEDD-4872-8AF0-B4B96AE35B3B}"/>
  <tableColumns count="9">
    <tableColumn id="1" xr3:uid="{DCA7B086-EE70-4934-AE78-5113FD2CAE95}" name="Fluids Trained on"/>
    <tableColumn id="9" xr3:uid="{6D6AC1A0-3399-49C8-8029-86B2E4043FF7}" name="Model"/>
    <tableColumn id="2" xr3:uid="{B86A0EE0-A819-46F0-94F2-5E87C0E9ED8A}" name="Groups Optimized"/>
    <tableColumn id="3" xr3:uid="{A1863FBE-E135-4F32-AEA0-5C26DBA4C05B}" name="Value" dataDxfId="12">
      <calculatedColumnFormula>1.11096/6</calculatedColumnFormula>
    </tableColumn>
    <tableColumn id="4" xr3:uid="{03E83C4D-D923-4EB4-8786-CE35C1CEB5DE}" name="Value Constant"/>
    <tableColumn id="5" xr3:uid="{0681B6F1-BE5A-4830-A429-CAF35B23F493}" name="Pure Fluid"/>
    <tableColumn id="6" xr3:uid="{E1136263-1C33-4855-AB79-7DCD123FD66C}" name="Note"/>
    <tableColumn id="7" xr3:uid="{EB7DAA9E-F75E-45A3-8A91-318FA77D95F3}" name="AAD train"/>
    <tableColumn id="8" xr3:uid="{BE39F083-9E75-449E-B08D-50B1805A6AEE}" name="AAD 1ba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7CA1D3-2021-4A4B-8CE6-0FA5F770CDE6}" name="Table6" displayName="Table6" ref="A74:I77" totalsRowShown="0">
  <autoFilter ref="A74:I77" xr:uid="{7E7CA1D3-2021-4A4B-8CE6-0FA5F770CDE6}"/>
  <tableColumns count="9">
    <tableColumn id="1" xr3:uid="{8BA17175-E7B1-4C6E-8522-BE5E1393B3CA}" name="Column1"/>
    <tableColumn id="2" xr3:uid="{0B588A6E-6BB5-41AD-A35C-9E067B8D42E3}" name="C"/>
    <tableColumn id="3" xr3:uid="{9E97DCCF-8229-4F80-85EF-E227E9394714}" name="n1"/>
    <tableColumn id="4" xr3:uid="{ADE49444-55F4-43DE-B00F-85C421C8A2C6}" name="n2"/>
    <tableColumn id="5" xr3:uid="{9EBBF952-9A05-4D9D-AD78-6E0CD8ED9C27}" name="n3"/>
    <tableColumn id="6" xr3:uid="{96BC1249-6357-401B-A617-678D8D1C9AA5}" name="e1"/>
    <tableColumn id="7" xr3:uid="{3E855E97-A787-43E4-9292-1CC0CCBCBBB8}" name="e2"/>
    <tableColumn id="8" xr3:uid="{73DEDF7C-E5D3-4D3C-9E13-261A9A881597}" name="e3"/>
    <tableColumn id="9" xr3:uid="{AFA9ADBA-45C5-4E79-8976-265A0FF50866}" name="f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454352-4798-40D7-83F5-9404A1C84A9D}" name="Table8" displayName="Table8" ref="A1:H7" totalsRowShown="0">
  <autoFilter ref="A1:H7" xr:uid="{16454352-4798-40D7-83F5-9404A1C84A9D}"/>
  <tableColumns count="8">
    <tableColumn id="1" xr3:uid="{A92ADD89-186E-45AA-997F-8868F153637D}" name="model 1"/>
    <tableColumn id="2" xr3:uid="{C3F2968A-CB77-41E3-8F6D-844E2C4CED96}" name="A"/>
    <tableColumn id="3" xr3:uid="{7C3991E2-5AF5-43F1-8BA7-7B7B12DD71DD}" name="B"/>
    <tableColumn id="4" xr3:uid="{D996C02D-6042-4D81-BAC8-EBDD448A7865}" name="C"/>
    <tableColumn id="5" xr3:uid="{86E9C172-0418-4B21-90E7-CCF41C491DF5}" name="gamma"/>
    <tableColumn id="6" xr3:uid="{50067DDA-7BAF-4E86-B3A3-C566AD40129B}" name="D"/>
    <tableColumn id="7" xr3:uid="{F562A7D4-A900-4B26-B9DC-8AB37D8AE23F}" name="f"/>
    <tableColumn id="8" xr3:uid="{564FF79C-4922-4B36-B799-A2FC04D1ED1C}" name="Column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3386295-2335-4EF4-8E21-A9EEC2F43564}" name="Table9" displayName="Table9" ref="A28:J37" totalsRowCount="1">
  <autoFilter ref="A28:J36" xr:uid="{13386295-2335-4EF4-8E21-A9EEC2F43564}"/>
  <tableColumns count="10">
    <tableColumn id="1" xr3:uid="{8F8D89D5-4A51-4C29-A12C-EE2672B04708}" name="Substance"/>
    <tableColumn id="2" xr3:uid="{9593D91B-FEA0-4B56-AEB2-532B5C0A17E2}" name="Mw" dataDxfId="11" totalsRowDxfId="10">
      <calculatedColumnFormula>(2*15+(Table9[[#This Row],[Substance]]-2)*14)*0.001</calculatedColumnFormula>
    </tableColumn>
    <tableColumn id="3" xr3:uid="{12DB1619-9B07-4514-B664-2070D271CB56}" name="D"/>
    <tableColumn id="4" xr3:uid="{16C9C562-42C1-405C-A17F-B0B07A11FADE}" name="Predict" dataDxfId="9" totalsRowDxfId="8">
      <calculatedColumnFormula>(F29+G29/Table9[[#This Row],[Mw]])^(-1)</calculatedColumnFormula>
    </tableColumn>
    <tableColumn id="5" xr3:uid="{49C0165A-DF4A-4A20-8DA9-B96B76ABCF69}" name="f"/>
    <tableColumn id="6" xr3:uid="{2A9C7813-7214-4DB2-94B3-BF1618DFD7BC}" name="D_1"/>
    <tableColumn id="7" xr3:uid="{B5640F98-1F38-4D9B-B2B3-2D4D66E54CC6}" name="D_2"/>
    <tableColumn id="8" xr3:uid="{14C4E0A6-7FCB-477A-A7BA-5AD70C476C54}" name="From constant D" dataDxfId="7" totalsRowDxfId="6">
      <calculatedColumnFormula>$F$2*Table9[[#This Row],[Substance]]</calculatedColumnFormula>
    </tableColumn>
    <tableColumn id="9" xr3:uid="{AB210DD9-D446-4E45-9945-562B16947440}" name="AAD" totalsRowFunction="custom" dataDxfId="5" totalsRowDxfId="4">
      <calculatedColumnFormula>ABS((Table9[[#This Row],[D]]-Table9[[#This Row],[Predict]])/Table9[[#This Row],[D]])</calculatedColumnFormula>
      <totalsRowFormula>AVERAGE(Table9[AAD])</totalsRowFormula>
    </tableColumn>
    <tableColumn id="10" xr3:uid="{65689B47-5D40-4F0C-83EC-88DB85923DC9}" name="AAD constant" totalsRowFunction="custom" dataDxfId="3" totalsRowDxfId="2">
      <calculatedColumnFormula>ABS((Table9[[#This Row],[D]]-Table9[[#This Row],[From constant D]])/Table9[[#This Row],[D]])</calculatedColumnFormula>
      <totalsRowFormula>AVERAGE(Table9[AAD constant])</totalsRow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9969B39-D44A-4069-9218-109F033DECB3}" name="Table811" displayName="Table811" ref="A40:I46" totalsRowShown="0">
  <autoFilter ref="A40:I46" xr:uid="{59969B39-D44A-4069-9218-109F033DECB3}"/>
  <tableColumns count="9">
    <tableColumn id="1" xr3:uid="{04807ECE-76CA-4643-82A4-EAFE71532FC7}" name="Column1"/>
    <tableColumn id="2" xr3:uid="{03360CF1-938B-4AAF-B1C0-4FFB4CD38F1D}" name="A"/>
    <tableColumn id="3" xr3:uid="{CE9D876A-A158-444C-9059-0EF2009B04B1}" name="B"/>
    <tableColumn id="4" xr3:uid="{8BB03711-AD44-46FF-911C-3B40EC510800}" name="C"/>
    <tableColumn id="5" xr3:uid="{2300CA0B-E9D4-4189-B78B-9ABF1488037C}" name="gamma"/>
    <tableColumn id="6" xr3:uid="{9B05C486-0E36-41B0-AB52-07E5A37BD0FA}" name="D_1"/>
    <tableColumn id="9" xr3:uid="{D45823DE-0553-4B00-9E2F-EA4F8A648CB7}" name="D_2"/>
    <tableColumn id="7" xr3:uid="{8919BAD9-BFCF-4E50-B57C-16642158A727}" name="f"/>
    <tableColumn id="8" xr3:uid="{BB53D3DE-2367-4CA5-89A3-5E48D0B21758}" name="Column2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3F8FC7-F2D1-40C8-A7F9-FFFDD2FBB65C}" name="Table812" displayName="Table812" ref="A11:H17" totalsRowShown="0">
  <autoFilter ref="A11:H17" xr:uid="{BB3F8FC7-F2D1-40C8-A7F9-FFFDD2FBB65C}"/>
  <tableColumns count="8">
    <tableColumn id="1" xr3:uid="{B91A393B-3B7B-42B7-9231-61D51F1BC111}" name="model 3"/>
    <tableColumn id="2" xr3:uid="{D4F3F415-E981-455D-849C-E26978480B9B}" name="A"/>
    <tableColumn id="3" xr3:uid="{553952E2-05EF-4A8C-B077-10D16F259FE4}" name="B"/>
    <tableColumn id="4" xr3:uid="{776F97B8-10AC-4212-9100-B30E0EF27344}" name="C"/>
    <tableColumn id="9" xr3:uid="{95E26B72-87C9-4B92-961D-F26DEAE522F3}" name="Tau"/>
    <tableColumn id="5" xr3:uid="{328B4D15-A017-42C0-9BDF-54F85DBD11D3}" name="gamma"/>
    <tableColumn id="7" xr3:uid="{3516C80A-E203-4981-9EF7-721D77381662}" name="f"/>
    <tableColumn id="8" xr3:uid="{8FE733C8-134B-4CA7-9230-E53D1ECBD94B}" name="Column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5EC615D-4DDE-4585-8E26-99B5ADB25657}" name="Table81213" displayName="Table81213" ref="A20:J26" totalsRowShown="0">
  <autoFilter ref="A20:J26" xr:uid="{75EC615D-4DDE-4585-8E26-99B5ADB25657}"/>
  <tableColumns count="10">
    <tableColumn id="1" xr3:uid="{1F12D79D-D17E-4005-97A0-39EDC4322267}" name="model 4"/>
    <tableColumn id="2" xr3:uid="{9A1D0DA6-4FDA-4932-BBCC-D30E790AB1AF}" name="A"/>
    <tableColumn id="3" xr3:uid="{BC8C7119-8E1C-4E3E-8EA6-1ECBABEC27D3}" name="B"/>
    <tableColumn id="4" xr3:uid="{CF881EC0-2F25-4257-AC90-F6AD89F22AB3}" name="C"/>
    <tableColumn id="6" xr3:uid="{92D124B2-224C-48C8-BDF8-14A032F7EF01}" name="D"/>
    <tableColumn id="9" xr3:uid="{1D385F8B-3D54-4A5A-9D76-54FB389BDFBC}" name="Tau"/>
    <tableColumn id="10" xr3:uid="{4E2BA35F-498B-40C1-B200-F5C484E9C125}" name="Tau vdw"/>
    <tableColumn id="5" xr3:uid="{05CC8F95-C19D-44CF-9A68-0DC8B2306672}" name="gamma"/>
    <tableColumn id="7" xr3:uid="{6EC39FF9-E850-43AD-9AF3-5DEDDF56DDBC}" name="f"/>
    <tableColumn id="8" xr3:uid="{DCDF3426-38FB-46A4-9AED-05A5BA77FF03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BE02275-29C9-4E09-8977-D00B9A030D52}" name="Table14" displayName="Table14" ref="K2:AG7" totalsRowShown="0">
  <autoFilter ref="K2:AG7" xr:uid="{6BE02275-29C9-4E09-8977-D00B9A030D52}"/>
  <tableColumns count="23">
    <tableColumn id="1" xr3:uid="{59330728-1789-4EDD-8B7C-F2586E13102D}" name="Model"/>
    <tableColumn id="2" xr3:uid="{97D67201-D25E-421D-9626-84D3EFF30E21}" name="5"/>
    <tableColumn id="3" xr3:uid="{8377AB01-8BEB-49E2-8416-F9A3B88168F1}" name="6"/>
    <tableColumn id="4" xr3:uid="{EA71E3CB-1B98-405A-8929-48AB08C6C439}" name="7"/>
    <tableColumn id="5" xr3:uid="{2140E99D-AACB-4F4A-9149-B7158370DCB5}" name="8"/>
    <tableColumn id="6" xr3:uid="{D52748BF-CC64-4C5C-B5CF-FF90C91C3FF0}" name="9"/>
    <tableColumn id="7" xr3:uid="{CE494295-5871-4C49-9BA0-BB0F319C089F}" name="10"/>
    <tableColumn id="8" xr3:uid="{626D4219-5795-4D17-A816-42824D9DF8F4}" name="11"/>
    <tableColumn id="9" xr3:uid="{0E909F8C-61C9-4331-A71E-BA161995D179}" name="12"/>
    <tableColumn id="10" xr3:uid="{97A095A8-356F-4FF9-AAA3-9097E4F52660}" name="13"/>
    <tableColumn id="11" xr3:uid="{405CD15D-F6E1-497C-8236-0308FE971851}" name="14"/>
    <tableColumn id="12" xr3:uid="{3A741105-6AD8-4DB1-96E8-C0288DA9064A}" name="15"/>
    <tableColumn id="13" xr3:uid="{3A458D4A-FFA6-427C-AF93-53D1BB59F00B}" name="16"/>
    <tableColumn id="14" xr3:uid="{482177DB-EB98-4C2F-B862-A1FFE295965E}" name="17"/>
    <tableColumn id="15" xr3:uid="{6DE34164-BE02-452B-A59C-52315852B54D}" name="Mean">
      <calculatedColumnFormula>AVERAGE(K3:X3)</calculatedColumnFormula>
    </tableColumn>
    <tableColumn id="16" xr3:uid="{F9E328C7-4E81-4C63-8F3D-14E8A60582D2}" name="Max">
      <calculatedColumnFormula>MAX(K3:Y3)</calculatedColumnFormula>
    </tableColumn>
    <tableColumn id="17" xr3:uid="{17983C06-215D-4312-9EC4-A074B9F08D94}" name="2,6,10,14-tetramethylpentadecane"/>
    <tableColumn id="18" xr3:uid="{BC600C6B-3AD1-4DE7-988F-2A97B4F0A7C8}" name="IsoButane"/>
    <tableColumn id="19" xr3:uid="{B1223B47-96F5-47F1-80CB-D670B19870F6}" name="Isopentane"/>
    <tableColumn id="20" xr3:uid="{CBDADC1A-61B9-4CEE-AB65-2783BBBB14D5}" name="Isohexane"/>
    <tableColumn id="21" xr3:uid="{97A3786D-993E-43FD-AF95-CB8F844F4EBE}" name="Squalane"/>
    <tableColumn id="22" xr3:uid="{CF54FCA6-95F7-4D62-86FD-4F20254E52B2}" name="Mean Branched" dataDxfId="1">
      <calculatedColumnFormula>AVERAGE(AA3:AE3)</calculatedColumnFormula>
    </tableColumn>
    <tableColumn id="23" xr3:uid="{7BF98095-AD59-45FF-B764-267328E764C0}" name="Max Branched" dataDxfId="0">
      <calculatedColumnFormula>MAX(AA3:AF3)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66BB-7BFD-4058-B899-8DBF33357212}">
  <dimension ref="A1:M53"/>
  <sheetViews>
    <sheetView topLeftCell="A37" zoomScale="75" zoomScaleNormal="85" workbookViewId="0">
      <selection activeCell="G51" sqref="G51"/>
    </sheetView>
  </sheetViews>
  <sheetFormatPr defaultRowHeight="14.5" x14ac:dyDescent="0.35"/>
  <cols>
    <col min="1" max="1" width="20.26953125" bestFit="1" customWidth="1"/>
    <col min="2" max="2" width="20.26953125" customWidth="1"/>
    <col min="3" max="3" width="18.1796875" bestFit="1" customWidth="1"/>
    <col min="4" max="4" width="13" bestFit="1" customWidth="1"/>
    <col min="5" max="5" width="12.36328125" bestFit="1" customWidth="1"/>
    <col min="6" max="6" width="11.54296875" bestFit="1" customWidth="1"/>
    <col min="7" max="7" width="37.6328125" bestFit="1" customWidth="1"/>
    <col min="8" max="9" width="12.36328125" bestFit="1" customWidth="1"/>
    <col min="10" max="10" width="9.6328125" customWidth="1"/>
    <col min="11" max="11" width="8.453125" customWidth="1"/>
  </cols>
  <sheetData>
    <row r="1" spans="1:9" x14ac:dyDescent="0.35">
      <c r="A1" t="s">
        <v>2</v>
      </c>
      <c r="B1" t="s">
        <v>43</v>
      </c>
      <c r="C1" t="s">
        <v>3</v>
      </c>
      <c r="D1" t="s">
        <v>27</v>
      </c>
      <c r="E1" t="s">
        <v>28</v>
      </c>
      <c r="F1" t="s">
        <v>4</v>
      </c>
      <c r="G1" t="s">
        <v>18</v>
      </c>
      <c r="H1" t="s">
        <v>41</v>
      </c>
      <c r="I1" t="s">
        <v>42</v>
      </c>
    </row>
    <row r="2" spans="1:9" x14ac:dyDescent="0.35">
      <c r="A2" t="s">
        <v>0</v>
      </c>
      <c r="B2" t="s">
        <v>44</v>
      </c>
      <c r="C2" t="s">
        <v>1</v>
      </c>
      <c r="D2">
        <v>0.47619299999999998</v>
      </c>
    </row>
    <row r="3" spans="1:9" x14ac:dyDescent="0.35">
      <c r="A3" t="s">
        <v>5</v>
      </c>
      <c r="B3" t="s">
        <v>44</v>
      </c>
      <c r="C3" t="s">
        <v>6</v>
      </c>
      <c r="D3">
        <v>0.484458</v>
      </c>
      <c r="E3">
        <v>4.7793000000000002E-2</v>
      </c>
      <c r="G3" t="s">
        <v>20</v>
      </c>
    </row>
    <row r="4" spans="1:9" x14ac:dyDescent="0.35">
      <c r="A4" t="s">
        <v>5</v>
      </c>
      <c r="B4" t="s">
        <v>44</v>
      </c>
      <c r="C4" t="s">
        <v>6</v>
      </c>
      <c r="D4">
        <v>0.48334700000000003</v>
      </c>
      <c r="E4">
        <v>4.7972399999999998E-2</v>
      </c>
      <c r="G4" t="s">
        <v>19</v>
      </c>
    </row>
    <row r="5" spans="1:9" x14ac:dyDescent="0.35">
      <c r="A5" t="s">
        <v>5</v>
      </c>
      <c r="B5" t="s">
        <v>44</v>
      </c>
      <c r="C5" t="s">
        <v>8</v>
      </c>
      <c r="D5" t="s">
        <v>23</v>
      </c>
      <c r="E5">
        <v>4.9229000000000002E-2</v>
      </c>
      <c r="G5" t="s">
        <v>24</v>
      </c>
    </row>
    <row r="6" spans="1:9" x14ac:dyDescent="0.35">
      <c r="A6" t="s">
        <v>5</v>
      </c>
      <c r="B6" t="s">
        <v>45</v>
      </c>
      <c r="C6" t="s">
        <v>6</v>
      </c>
      <c r="D6">
        <v>0.39871800000000002</v>
      </c>
      <c r="E6">
        <v>4.0770000000000001E-2</v>
      </c>
      <c r="G6" t="s">
        <v>36</v>
      </c>
    </row>
    <row r="7" spans="1:9" x14ac:dyDescent="0.35">
      <c r="D7">
        <v>0.40577200000000002</v>
      </c>
      <c r="E7">
        <v>3.8855399999999998E-2</v>
      </c>
      <c r="G7" t="s">
        <v>39</v>
      </c>
    </row>
    <row r="8" spans="1:9" x14ac:dyDescent="0.35">
      <c r="D8">
        <v>0.4078</v>
      </c>
      <c r="E8">
        <v>3.8234999999999998E-2</v>
      </c>
      <c r="G8" t="s">
        <v>40</v>
      </c>
    </row>
    <row r="9" spans="1:9" x14ac:dyDescent="0.35">
      <c r="A9" t="s">
        <v>25</v>
      </c>
      <c r="B9" t="s">
        <v>44</v>
      </c>
      <c r="C9" t="s">
        <v>26</v>
      </c>
      <c r="D9">
        <f>1.04744/6</f>
        <v>0.17457333333333333</v>
      </c>
    </row>
    <row r="10" spans="1:9" x14ac:dyDescent="0.35">
      <c r="B10" t="s">
        <v>45</v>
      </c>
      <c r="C10" t="s">
        <v>34</v>
      </c>
      <c r="D10">
        <f>0.918721/6</f>
        <v>0.15312016666666667</v>
      </c>
      <c r="G10" t="s">
        <v>35</v>
      </c>
    </row>
    <row r="11" spans="1:9" x14ac:dyDescent="0.35">
      <c r="B11" t="s">
        <v>45</v>
      </c>
      <c r="C11" t="s">
        <v>34</v>
      </c>
      <c r="D11">
        <f>0.913806/6</f>
        <v>0.15230099999999999</v>
      </c>
      <c r="G11" t="s">
        <v>36</v>
      </c>
    </row>
    <row r="12" spans="1:9" x14ac:dyDescent="0.35">
      <c r="B12" t="s">
        <v>45</v>
      </c>
      <c r="C12" s="1" t="s">
        <v>26</v>
      </c>
      <c r="D12" s="1">
        <f>0.856098/6</f>
        <v>0.142683</v>
      </c>
      <c r="E12" s="1"/>
      <c r="F12" s="1"/>
      <c r="G12" s="1" t="s">
        <v>38</v>
      </c>
      <c r="H12" s="1">
        <v>2.785E-2</v>
      </c>
      <c r="I12" s="1">
        <v>3.7599999999999999E-3</v>
      </c>
    </row>
    <row r="13" spans="1:9" x14ac:dyDescent="0.35">
      <c r="B13" t="s">
        <v>45</v>
      </c>
      <c r="C13" t="s">
        <v>26</v>
      </c>
      <c r="D13">
        <f>0.879119/6</f>
        <v>0.14651983333333332</v>
      </c>
      <c r="G13" t="s">
        <v>39</v>
      </c>
      <c r="H13">
        <v>3.0890000000000001E-2</v>
      </c>
      <c r="I13">
        <v>1.729E-2</v>
      </c>
    </row>
    <row r="14" spans="1:9" x14ac:dyDescent="0.35">
      <c r="B14" t="s">
        <v>45</v>
      </c>
      <c r="C14" t="s">
        <v>26</v>
      </c>
      <c r="D14">
        <f>0.879427/6</f>
        <v>0.14657116666666667</v>
      </c>
      <c r="G14" t="s">
        <v>40</v>
      </c>
      <c r="H14">
        <v>2.7699999999999999E-2</v>
      </c>
      <c r="I14">
        <v>4.3670000000000002E-3</v>
      </c>
    </row>
    <row r="19" spans="1:13" x14ac:dyDescent="0.35">
      <c r="A19" s="1" t="s">
        <v>48</v>
      </c>
    </row>
    <row r="20" spans="1:13" x14ac:dyDescent="0.35">
      <c r="A20" t="s">
        <v>7</v>
      </c>
      <c r="B20" t="s">
        <v>47</v>
      </c>
      <c r="C20" t="s">
        <v>1</v>
      </c>
      <c r="D20" t="s">
        <v>8</v>
      </c>
      <c r="E20" t="s">
        <v>21</v>
      </c>
      <c r="F20" t="s">
        <v>22</v>
      </c>
      <c r="G20" t="s">
        <v>52</v>
      </c>
      <c r="H20" t="s">
        <v>9</v>
      </c>
      <c r="I20" t="s">
        <v>15</v>
      </c>
      <c r="J20" t="s">
        <v>51</v>
      </c>
      <c r="K20" t="s">
        <v>53</v>
      </c>
      <c r="L20" t="s">
        <v>16</v>
      </c>
      <c r="M20" t="s">
        <v>17</v>
      </c>
    </row>
    <row r="21" spans="1:13" x14ac:dyDescent="0.35">
      <c r="A21" t="s">
        <v>10</v>
      </c>
      <c r="C21">
        <v>2</v>
      </c>
      <c r="D21">
        <v>6</v>
      </c>
      <c r="E21">
        <f>C21*$D$3+D21*$E$3</f>
        <v>1.255674</v>
      </c>
      <c r="F21">
        <f>C21*$D$4+D21*$E$4</f>
        <v>1.2545284000000001</v>
      </c>
      <c r="G21">
        <f>Table4[[#This Row],[CH3]]*$D$2+Table4[[#This Row],[CH2]]*$E$5</f>
        <v>1.24776</v>
      </c>
      <c r="H21">
        <v>1.2615700000000001</v>
      </c>
      <c r="I21">
        <f t="shared" ref="I21:I25" si="0">ABS(H21-E21)/H21*100</f>
        <v>0.46735416980430122</v>
      </c>
      <c r="J21">
        <f t="shared" ref="J21:J25" si="1">ABS(H21-F21)/H21*100</f>
        <v>0.55816165571470322</v>
      </c>
      <c r="K21">
        <f t="shared" ref="K21:K25" si="2">ABS(H21-G21)/H21*100</f>
        <v>1.0946677552573458</v>
      </c>
      <c r="L21">
        <v>455</v>
      </c>
    </row>
    <row r="22" spans="1:13" x14ac:dyDescent="0.35">
      <c r="A22" t="s">
        <v>11</v>
      </c>
      <c r="C22">
        <v>2</v>
      </c>
      <c r="D22">
        <v>8</v>
      </c>
      <c r="E22">
        <f t="shared" ref="E22:E25" si="3">C22*$D$3+D22*$E$3</f>
        <v>1.3512599999999999</v>
      </c>
      <c r="F22">
        <f t="shared" ref="F22:F25" si="4">C22*$D$4+D22*$E$4</f>
        <v>1.3504732000000002</v>
      </c>
      <c r="G22">
        <f>Table4[[#This Row],[CH3]]*$D$2+Table4[[#This Row],[CH2]]*$E$5</f>
        <v>1.3462179999999999</v>
      </c>
      <c r="H22">
        <v>1.34395</v>
      </c>
      <c r="I22">
        <f t="shared" si="0"/>
        <v>0.54391904460730889</v>
      </c>
      <c r="J22">
        <f t="shared" si="1"/>
        <v>0.48537519997024986</v>
      </c>
      <c r="K22">
        <f t="shared" si="2"/>
        <v>0.16875627813534258</v>
      </c>
      <c r="L22">
        <v>358</v>
      </c>
    </row>
    <row r="23" spans="1:13" x14ac:dyDescent="0.35">
      <c r="A23" t="s">
        <v>12</v>
      </c>
      <c r="C23">
        <v>2</v>
      </c>
      <c r="D23">
        <v>10</v>
      </c>
      <c r="E23">
        <f t="shared" si="3"/>
        <v>1.4468460000000001</v>
      </c>
      <c r="F23">
        <f t="shared" si="4"/>
        <v>1.446418</v>
      </c>
      <c r="G23">
        <f>Table4[[#This Row],[CH3]]*$D$2+Table4[[#This Row],[CH2]]*$E$5</f>
        <v>1.4446759999999998</v>
      </c>
      <c r="H23">
        <v>1.4469099999999999</v>
      </c>
      <c r="I23">
        <f t="shared" si="0"/>
        <v>4.4232191359408644E-3</v>
      </c>
      <c r="J23">
        <f t="shared" si="1"/>
        <v>3.4003497107625E-2</v>
      </c>
      <c r="K23">
        <f t="shared" si="2"/>
        <v>0.15439799296432186</v>
      </c>
      <c r="L23">
        <v>354</v>
      </c>
    </row>
    <row r="24" spans="1:13" x14ac:dyDescent="0.35">
      <c r="A24" t="s">
        <v>13</v>
      </c>
      <c r="C24">
        <v>2</v>
      </c>
      <c r="D24">
        <v>12</v>
      </c>
      <c r="E24">
        <f t="shared" si="3"/>
        <v>1.542432</v>
      </c>
      <c r="F24">
        <f t="shared" si="4"/>
        <v>1.5423628</v>
      </c>
      <c r="G24">
        <f>Table4[[#This Row],[CH3]]*$D$2+Table4[[#This Row],[CH2]]*$E$5</f>
        <v>1.543134</v>
      </c>
      <c r="H24">
        <v>1.54009</v>
      </c>
      <c r="I24">
        <f t="shared" si="0"/>
        <v>0.15206903492653456</v>
      </c>
      <c r="J24">
        <f t="shared" si="1"/>
        <v>0.14757579102520468</v>
      </c>
      <c r="K24">
        <f t="shared" si="2"/>
        <v>0.19765078664234209</v>
      </c>
      <c r="L24">
        <v>167</v>
      </c>
    </row>
    <row r="25" spans="1:13" x14ac:dyDescent="0.35">
      <c r="A25" t="s">
        <v>14</v>
      </c>
      <c r="C25">
        <v>2</v>
      </c>
      <c r="D25">
        <v>14</v>
      </c>
      <c r="E25">
        <f t="shared" si="3"/>
        <v>1.6380180000000002</v>
      </c>
      <c r="F25">
        <f t="shared" si="4"/>
        <v>1.6383076000000001</v>
      </c>
      <c r="G25">
        <f>Table4[[#This Row],[CH3]]*$D$2+Table4[[#This Row],[CH2]]*$E$5</f>
        <v>1.6415919999999999</v>
      </c>
      <c r="H25">
        <v>1.64089</v>
      </c>
      <c r="I25">
        <f t="shared" si="0"/>
        <v>0.17502696707273271</v>
      </c>
      <c r="J25">
        <f t="shared" si="1"/>
        <v>0.15737800827598886</v>
      </c>
      <c r="K25">
        <f t="shared" si="2"/>
        <v>4.278166117168003E-2</v>
      </c>
      <c r="L25">
        <v>241</v>
      </c>
    </row>
    <row r="26" spans="1:13" x14ac:dyDescent="0.35">
      <c r="I26">
        <f>AVERAGE(I21:I25)</f>
        <v>0.26855848710936364</v>
      </c>
      <c r="J26">
        <f>AVERAGE(J21:J25)</f>
        <v>0.27649883041875434</v>
      </c>
      <c r="K26">
        <f>AVERAGE(K21:K25)</f>
        <v>0.33165089483420646</v>
      </c>
    </row>
    <row r="27" spans="1:13" x14ac:dyDescent="0.35">
      <c r="A27" s="1" t="s">
        <v>49</v>
      </c>
    </row>
    <row r="28" spans="1:13" x14ac:dyDescent="0.35">
      <c r="A28" t="s">
        <v>7</v>
      </c>
      <c r="B28" t="s">
        <v>47</v>
      </c>
      <c r="C28" t="s">
        <v>1</v>
      </c>
      <c r="D28" t="s">
        <v>8</v>
      </c>
      <c r="E28" t="s">
        <v>21</v>
      </c>
      <c r="F28" t="s">
        <v>22</v>
      </c>
      <c r="G28" t="s">
        <v>9</v>
      </c>
      <c r="H28" t="s">
        <v>15</v>
      </c>
      <c r="I28" t="s">
        <v>51</v>
      </c>
      <c r="J28" t="s">
        <v>16</v>
      </c>
      <c r="K28" t="s">
        <v>17</v>
      </c>
    </row>
    <row r="29" spans="1:13" x14ac:dyDescent="0.35">
      <c r="A29" t="s">
        <v>10</v>
      </c>
      <c r="C29">
        <v>2</v>
      </c>
      <c r="D29">
        <v>6</v>
      </c>
      <c r="E29">
        <f>C29*$D$6+D29*$E$6</f>
        <v>1.0420560000000001</v>
      </c>
      <c r="F29">
        <f t="shared" ref="F29:F33" si="5">C29*$D$7+D29*$E$7</f>
        <v>1.0446763999999999</v>
      </c>
      <c r="G29">
        <v>1.05199</v>
      </c>
      <c r="H29">
        <f t="shared" ref="H29:H33" si="6">ABS(G29-E29)/G29*100</f>
        <v>0.94430555423529561</v>
      </c>
      <c r="I29">
        <f t="shared" ref="I29:I33" si="7">ABS(G29-F29)/G29*100</f>
        <v>0.6952157339898698</v>
      </c>
    </row>
    <row r="30" spans="1:13" x14ac:dyDescent="0.35">
      <c r="A30" t="s">
        <v>11</v>
      </c>
      <c r="C30">
        <v>2</v>
      </c>
      <c r="D30">
        <v>8</v>
      </c>
      <c r="E30">
        <f>C30*$D$6+D30*$E$6</f>
        <v>1.123596</v>
      </c>
      <c r="F30">
        <f t="shared" si="5"/>
        <v>1.1223871999999999</v>
      </c>
      <c r="G30">
        <v>1.11666</v>
      </c>
      <c r="H30">
        <f t="shared" si="6"/>
        <v>0.62113803664499967</v>
      </c>
      <c r="I30">
        <f t="shared" si="7"/>
        <v>0.51288664409936169</v>
      </c>
    </row>
    <row r="31" spans="1:13" x14ac:dyDescent="0.35">
      <c r="A31" t="s">
        <v>12</v>
      </c>
      <c r="C31">
        <v>2</v>
      </c>
      <c r="D31">
        <v>10</v>
      </c>
      <c r="E31">
        <f>C31*$D$6+D31*$E$6</f>
        <v>1.205136</v>
      </c>
      <c r="F31">
        <f t="shared" si="5"/>
        <v>1.2000980000000001</v>
      </c>
      <c r="G31">
        <v>1.1997899999999999</v>
      </c>
      <c r="H31">
        <f t="shared" si="6"/>
        <v>0.44557797614583167</v>
      </c>
      <c r="I31">
        <f t="shared" si="7"/>
        <v>2.5671159119529007E-2</v>
      </c>
    </row>
    <row r="32" spans="1:13" x14ac:dyDescent="0.35">
      <c r="A32" t="s">
        <v>13</v>
      </c>
      <c r="C32">
        <v>2</v>
      </c>
      <c r="D32">
        <v>12</v>
      </c>
      <c r="E32">
        <f t="shared" ref="E32:E33" si="8">C32*$D$6+D32*$E$6</f>
        <v>1.2866759999999999</v>
      </c>
      <c r="F32">
        <f t="shared" si="5"/>
        <v>1.2778088000000001</v>
      </c>
      <c r="G32">
        <v>1.2747999999999999</v>
      </c>
      <c r="H32">
        <f t="shared" si="6"/>
        <v>0.93159711327267003</v>
      </c>
      <c r="I32">
        <f t="shared" si="7"/>
        <v>0.23602133668027495</v>
      </c>
    </row>
    <row r="33" spans="1:9" x14ac:dyDescent="0.35">
      <c r="A33" t="s">
        <v>14</v>
      </c>
      <c r="C33">
        <v>2</v>
      </c>
      <c r="D33">
        <v>14</v>
      </c>
      <c r="E33">
        <f t="shared" si="8"/>
        <v>1.3682160000000001</v>
      </c>
      <c r="F33">
        <f t="shared" si="5"/>
        <v>1.3555196</v>
      </c>
      <c r="G33">
        <v>1.3586499999999999</v>
      </c>
      <c r="H33">
        <f t="shared" si="6"/>
        <v>0.70408125713025327</v>
      </c>
      <c r="I33">
        <f t="shared" si="7"/>
        <v>0.23040518161409246</v>
      </c>
    </row>
    <row r="35" spans="1:9" x14ac:dyDescent="0.35">
      <c r="H35">
        <f>(G29-D29*$G$40)/2</f>
        <v>0.41099750000000002</v>
      </c>
    </row>
    <row r="36" spans="1:9" x14ac:dyDescent="0.35">
      <c r="G36">
        <f t="shared" ref="G36" si="9">(G30-G29)/2</f>
        <v>3.2335000000000003E-2</v>
      </c>
      <c r="H36">
        <f>(G30-D30*$G$40)/2</f>
        <v>0.40500000000000003</v>
      </c>
    </row>
    <row r="37" spans="1:9" x14ac:dyDescent="0.35">
      <c r="G37">
        <f>(G31-G30)/2</f>
        <v>4.1564999999999963E-2</v>
      </c>
      <c r="H37">
        <f>(G31-D31*$G$40)/2</f>
        <v>0.4082325</v>
      </c>
    </row>
    <row r="38" spans="1:9" x14ac:dyDescent="0.35">
      <c r="G38">
        <f>(G32-G31)/2</f>
        <v>3.7505000000000011E-2</v>
      </c>
      <c r="H38">
        <f>(G32-D32*$G$40)/2</f>
        <v>0.40740500000000002</v>
      </c>
    </row>
    <row r="39" spans="1:9" x14ac:dyDescent="0.35">
      <c r="G39">
        <f>(G33-G32)/2</f>
        <v>4.192499999999999E-2</v>
      </c>
      <c r="H39">
        <f>(G33-D33*$G$40)/2</f>
        <v>0.41099750000000002</v>
      </c>
    </row>
    <row r="40" spans="1:9" x14ac:dyDescent="0.35">
      <c r="F40" t="s">
        <v>50</v>
      </c>
      <c r="G40">
        <f>AVERAGE(G36:G39)</f>
        <v>3.8332499999999992E-2</v>
      </c>
      <c r="H40">
        <f>AVERAGE(H35:H39)</f>
        <v>0.40852649999999996</v>
      </c>
    </row>
    <row r="41" spans="1:9" x14ac:dyDescent="0.35">
      <c r="A41" t="s">
        <v>29</v>
      </c>
      <c r="C41" t="s">
        <v>30</v>
      </c>
      <c r="D41" t="s">
        <v>31</v>
      </c>
      <c r="E41" t="s">
        <v>32</v>
      </c>
    </row>
    <row r="42" spans="1:9" x14ac:dyDescent="0.35">
      <c r="A42">
        <v>2</v>
      </c>
      <c r="C42">
        <v>0.36357600000000001</v>
      </c>
      <c r="D42">
        <v>-7.4938000000000005E-2</v>
      </c>
      <c r="E42">
        <v>5.1590000000000004E-3</v>
      </c>
    </row>
    <row r="43" spans="1:9" x14ac:dyDescent="0.35">
      <c r="A43">
        <v>3</v>
      </c>
      <c r="C43">
        <v>0.39298300000000003</v>
      </c>
      <c r="D43">
        <v>-0.16752800000000001</v>
      </c>
      <c r="E43">
        <v>3.7983999999999997E-2</v>
      </c>
    </row>
    <row r="44" spans="1:9" x14ac:dyDescent="0.35">
      <c r="A44">
        <v>4</v>
      </c>
      <c r="C44">
        <v>0.30593500000000001</v>
      </c>
      <c r="D44">
        <v>-0.12839100000000001</v>
      </c>
      <c r="E44">
        <v>2.8657999999999999E-2</v>
      </c>
    </row>
    <row r="45" spans="1:9" x14ac:dyDescent="0.35">
      <c r="A45">
        <v>5</v>
      </c>
      <c r="C45">
        <v>0.28631200000000001</v>
      </c>
      <c r="D45">
        <v>-0.11108999999999999</v>
      </c>
      <c r="E45">
        <v>2.2641999999999999E-2</v>
      </c>
    </row>
    <row r="46" spans="1:9" x14ac:dyDescent="0.35">
      <c r="A46">
        <v>6</v>
      </c>
      <c r="C46">
        <v>0.220249</v>
      </c>
      <c r="D46">
        <v>-7.0232000000000003E-2</v>
      </c>
      <c r="E46">
        <v>1.1963E-2</v>
      </c>
    </row>
    <row r="47" spans="1:9" x14ac:dyDescent="0.35">
      <c r="A47">
        <v>7</v>
      </c>
      <c r="C47">
        <v>0.30593199999999998</v>
      </c>
      <c r="D47">
        <v>-0.171762</v>
      </c>
      <c r="E47">
        <v>5.0057999999999998E-2</v>
      </c>
    </row>
    <row r="48" spans="1:9" x14ac:dyDescent="0.35">
      <c r="A48">
        <v>8</v>
      </c>
      <c r="C48">
        <v>0.297539</v>
      </c>
      <c r="D48">
        <v>-0.209949</v>
      </c>
      <c r="E48">
        <v>6.8151000000000003E-2</v>
      </c>
    </row>
    <row r="49" spans="1:5" x14ac:dyDescent="0.35">
      <c r="A49" t="s">
        <v>33</v>
      </c>
      <c r="C49">
        <f>AVERAGE(C42:C48)</f>
        <v>0.31036085714285716</v>
      </c>
      <c r="D49">
        <f>AVERAGE(D42:D48)</f>
        <v>-0.13341285714285714</v>
      </c>
      <c r="E49">
        <f t="shared" ref="E49" si="10">AVERAGE(E42:E48)</f>
        <v>3.2087857142857147E-2</v>
      </c>
    </row>
    <row r="50" spans="1:5" x14ac:dyDescent="0.35">
      <c r="A50" t="s">
        <v>37</v>
      </c>
      <c r="C50">
        <f>AVERAGE(C43:C48)</f>
        <v>0.30149166666666666</v>
      </c>
      <c r="D50">
        <f>AVERAGE(D43:D48)</f>
        <v>-0.14315866666666668</v>
      </c>
      <c r="E50">
        <f>AVERAGE(E43:E48)</f>
        <v>3.6575999999999997E-2</v>
      </c>
    </row>
    <row r="51" spans="1:5" x14ac:dyDescent="0.35">
      <c r="A51" t="s">
        <v>46</v>
      </c>
      <c r="C51">
        <f>AVERAGE(C43:C47)</f>
        <v>0.30228219999999995</v>
      </c>
      <c r="D51">
        <f t="shared" ref="D51:E51" si="11">AVERAGE(D43:D47)</f>
        <v>-0.12980060000000002</v>
      </c>
      <c r="E51">
        <f t="shared" si="11"/>
        <v>3.0261E-2</v>
      </c>
    </row>
    <row r="53" spans="1:5" x14ac:dyDescent="0.35">
      <c r="C53">
        <f>AVERAGE(C43:C46)</f>
        <v>0.30136974999999999</v>
      </c>
      <c r="D53">
        <f t="shared" ref="D53:E53" si="12">AVERAGE(D43:D46)</f>
        <v>-0.11931025000000002</v>
      </c>
      <c r="E53">
        <f t="shared" si="12"/>
        <v>2.5311749999999997E-2</v>
      </c>
    </row>
  </sheetData>
  <phoneticPr fontId="1" type="noConversion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A6B0-FACC-44A1-B675-AC06C606BFF0}">
  <dimension ref="A1:D6"/>
  <sheetViews>
    <sheetView workbookViewId="0">
      <selection activeCell="B3" sqref="B3"/>
    </sheetView>
  </sheetViews>
  <sheetFormatPr defaultRowHeight="14.5" x14ac:dyDescent="0.35"/>
  <sheetData>
    <row r="1" spans="1:4" x14ac:dyDescent="0.35">
      <c r="B1" t="s">
        <v>54</v>
      </c>
      <c r="C1" t="s">
        <v>55</v>
      </c>
      <c r="D1" t="s">
        <v>56</v>
      </c>
    </row>
    <row r="2" spans="1:4" x14ac:dyDescent="0.35">
      <c r="A2" t="s">
        <v>1</v>
      </c>
      <c r="B2">
        <v>-6.1718500000000004E-3</v>
      </c>
      <c r="C2">
        <v>-0.194443</v>
      </c>
      <c r="D2">
        <v>-5.97023E-2</v>
      </c>
    </row>
    <row r="3" spans="1:4" x14ac:dyDescent="0.35">
      <c r="A3" t="s">
        <v>8</v>
      </c>
      <c r="B3">
        <v>-1.5553819999999999E-3</v>
      </c>
      <c r="C3">
        <v>-0.24406800000000001</v>
      </c>
      <c r="D3">
        <v>-5.8962099999999998E-3</v>
      </c>
    </row>
    <row r="6" spans="1:4" x14ac:dyDescent="0.35">
      <c r="B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3DBF-EF42-4695-ABFE-9E64DAD705B3}">
  <dimension ref="A1:AJ75"/>
  <sheetViews>
    <sheetView topLeftCell="P1" zoomScale="88" zoomScaleNormal="85" workbookViewId="0">
      <selection activeCell="J23" sqref="J23"/>
    </sheetView>
  </sheetViews>
  <sheetFormatPr defaultRowHeight="14.5" x14ac:dyDescent="0.35"/>
  <cols>
    <col min="1" max="1" width="17.453125" bestFit="1" customWidth="1"/>
    <col min="2" max="2" width="63.54296875" customWidth="1"/>
    <col min="3" max="3" width="21" customWidth="1"/>
    <col min="4" max="4" width="10.81640625" customWidth="1"/>
    <col min="5" max="5" width="8.81640625" bestFit="1" customWidth="1"/>
    <col min="6" max="6" width="11.54296875" bestFit="1" customWidth="1"/>
    <col min="7" max="7" width="15.81640625" customWidth="1"/>
    <col min="8" max="8" width="10.81640625" bestFit="1" customWidth="1"/>
    <col min="9" max="9" width="10.6328125" bestFit="1" customWidth="1"/>
    <col min="11" max="11" width="11.1796875" customWidth="1"/>
    <col min="15" max="15" width="14.453125" customWidth="1"/>
    <col min="16" max="16" width="12.453125" customWidth="1"/>
  </cols>
  <sheetData>
    <row r="1" spans="1:36" x14ac:dyDescent="0.35">
      <c r="A1" t="s">
        <v>2</v>
      </c>
      <c r="B1" t="s">
        <v>43</v>
      </c>
      <c r="C1" t="s">
        <v>3</v>
      </c>
      <c r="D1" t="s">
        <v>27</v>
      </c>
      <c r="E1" t="s">
        <v>28</v>
      </c>
      <c r="F1" t="s">
        <v>4</v>
      </c>
      <c r="G1" t="s">
        <v>18</v>
      </c>
      <c r="H1" t="s">
        <v>41</v>
      </c>
      <c r="I1" t="s">
        <v>42</v>
      </c>
      <c r="L1" t="s">
        <v>33</v>
      </c>
      <c r="M1" t="s">
        <v>1</v>
      </c>
      <c r="N1" t="s">
        <v>8</v>
      </c>
      <c r="O1" t="s">
        <v>65</v>
      </c>
      <c r="P1" t="s">
        <v>66</v>
      </c>
      <c r="Q1" t="s">
        <v>62</v>
      </c>
      <c r="R1" t="s">
        <v>63</v>
      </c>
      <c r="S1" t="s">
        <v>67</v>
      </c>
      <c r="U1">
        <v>4</v>
      </c>
      <c r="V1">
        <v>5</v>
      </c>
      <c r="W1">
        <v>6</v>
      </c>
      <c r="X1">
        <v>7</v>
      </c>
      <c r="Y1">
        <v>8</v>
      </c>
      <c r="Z1">
        <v>9</v>
      </c>
      <c r="AA1">
        <v>10</v>
      </c>
      <c r="AB1">
        <v>11</v>
      </c>
      <c r="AC1">
        <v>12</v>
      </c>
      <c r="AD1">
        <v>13</v>
      </c>
      <c r="AE1">
        <v>14</v>
      </c>
      <c r="AF1">
        <v>15</v>
      </c>
      <c r="AG1">
        <v>16</v>
      </c>
      <c r="AH1">
        <v>17</v>
      </c>
      <c r="AI1" t="s">
        <v>50</v>
      </c>
      <c r="AJ1" t="s">
        <v>71</v>
      </c>
    </row>
    <row r="2" spans="1:36" x14ac:dyDescent="0.35">
      <c r="A2" t="s">
        <v>25</v>
      </c>
      <c r="C2" t="s">
        <v>26</v>
      </c>
      <c r="D2">
        <f t="shared" ref="D2" si="0">1.11096/6</f>
        <v>0.18515999999999999</v>
      </c>
      <c r="E2">
        <v>72.964500000000001</v>
      </c>
      <c r="G2">
        <f>0.879119/6</f>
        <v>0.14651983333333332</v>
      </c>
      <c r="Q2">
        <v>2.6627476000000001E-2</v>
      </c>
      <c r="R2">
        <v>2.77759</v>
      </c>
      <c r="S2">
        <v>3.5799999999999998E-2</v>
      </c>
      <c r="U2">
        <v>3.9295957709234101E-2</v>
      </c>
      <c r="V2">
        <v>3.0319266912699799E-2</v>
      </c>
      <c r="W2">
        <v>3.6490480103860398E-2</v>
      </c>
      <c r="X2">
        <v>6.8261823758580101E-2</v>
      </c>
      <c r="Y2">
        <v>5.70017455092112E-2</v>
      </c>
      <c r="Z2">
        <v>4.2008664306779998E-2</v>
      </c>
      <c r="AA2">
        <v>2.76708742991357E-2</v>
      </c>
      <c r="AB2">
        <v>2.5964484052484599E-2</v>
      </c>
      <c r="AC2">
        <v>5.0962861333471998E-2</v>
      </c>
      <c r="AD2">
        <v>6.4454100076890106E-2</v>
      </c>
      <c r="AE2">
        <v>5.1101088362238402E-2</v>
      </c>
      <c r="AF2">
        <v>0.14985295197097201</v>
      </c>
      <c r="AG2">
        <v>9.05908410923255E-2</v>
      </c>
      <c r="AH2">
        <v>4.6642337949149501E-2</v>
      </c>
      <c r="AI2">
        <f>AVERAGE(U2:AH2)</f>
        <v>5.5758391245502394E-2</v>
      </c>
      <c r="AJ2">
        <f>MAX(U2:AH2)</f>
        <v>0.14985295197097201</v>
      </c>
    </row>
    <row r="3" spans="1:36" x14ac:dyDescent="0.35">
      <c r="A3" t="s">
        <v>57</v>
      </c>
      <c r="C3" t="s">
        <v>58</v>
      </c>
      <c r="D3">
        <v>0.103377</v>
      </c>
      <c r="E3">
        <v>-123.288</v>
      </c>
      <c r="G3" t="s">
        <v>59</v>
      </c>
      <c r="Q3">
        <v>2.8334000000000002E-2</v>
      </c>
      <c r="R3">
        <v>2.75</v>
      </c>
      <c r="S3">
        <v>4.8500000000000001E-2</v>
      </c>
      <c r="AJ3">
        <f t="shared" ref="AJ3:AJ7" si="1">MAX(U3:AH3)</f>
        <v>0</v>
      </c>
    </row>
    <row r="4" spans="1:36" x14ac:dyDescent="0.35">
      <c r="A4" t="s">
        <v>60</v>
      </c>
      <c r="C4" t="s">
        <v>9</v>
      </c>
      <c r="D4">
        <v>0.76141700000000001</v>
      </c>
      <c r="K4" t="s">
        <v>70</v>
      </c>
      <c r="L4" t="s">
        <v>64</v>
      </c>
      <c r="M4">
        <v>0.31089250000000002</v>
      </c>
      <c r="N4">
        <v>9.3024140000000002E-3</v>
      </c>
      <c r="O4">
        <v>-6.1322000000000002E-2</v>
      </c>
      <c r="P4">
        <v>-0.44629099999999999</v>
      </c>
      <c r="Q4">
        <v>2.7893000000000001E-2</v>
      </c>
      <c r="R4">
        <v>2.7532287000000002</v>
      </c>
      <c r="S4">
        <v>2.7050000000000001E-2</v>
      </c>
      <c r="AJ4">
        <f t="shared" si="1"/>
        <v>0</v>
      </c>
    </row>
    <row r="5" spans="1:36" x14ac:dyDescent="0.35">
      <c r="A5" t="s">
        <v>61</v>
      </c>
      <c r="C5" t="s">
        <v>9</v>
      </c>
      <c r="D5">
        <v>0.76133999999999991</v>
      </c>
      <c r="M5">
        <v>0.20918041342902799</v>
      </c>
      <c r="N5">
        <v>3.86457794072489E-3</v>
      </c>
      <c r="O5">
        <v>-0.17663046571746699</v>
      </c>
      <c r="P5">
        <v>-1.17274362771735</v>
      </c>
      <c r="Q5">
        <v>2.78307626172117E-2</v>
      </c>
      <c r="R5">
        <v>2.75</v>
      </c>
      <c r="S5">
        <v>2.5930000000000002E-2</v>
      </c>
      <c r="U5">
        <v>5.1124899827396597E-2</v>
      </c>
      <c r="V5">
        <v>3.7040419230902101E-2</v>
      </c>
      <c r="W5">
        <v>4.0043811695251702E-2</v>
      </c>
      <c r="X5">
        <v>5.3861221018446703E-2</v>
      </c>
      <c r="Y5">
        <v>5.5739391953762998E-2</v>
      </c>
      <c r="Z5">
        <v>5.4564257278704301E-2</v>
      </c>
      <c r="AA5">
        <v>3.7599175380684698E-2</v>
      </c>
      <c r="AB5">
        <v>3.5022058009562602E-2</v>
      </c>
      <c r="AC5">
        <v>4.3663862399276901E-2</v>
      </c>
      <c r="AD5">
        <v>2.9417789239520199E-2</v>
      </c>
      <c r="AE5">
        <v>3.1631659915169301E-2</v>
      </c>
      <c r="AF5">
        <v>3.7339093812924599E-2</v>
      </c>
      <c r="AG5">
        <v>5.6629642972582397E-2</v>
      </c>
      <c r="AH5">
        <v>4.6639521935386501E-2</v>
      </c>
      <c r="AI5">
        <f t="shared" ref="AI5:AI7" si="2">AVERAGE(U5:AH5)</f>
        <v>4.3594057476397961E-2</v>
      </c>
      <c r="AJ5">
        <f t="shared" si="1"/>
        <v>5.6629642972582397E-2</v>
      </c>
    </row>
    <row r="6" spans="1:36" x14ac:dyDescent="0.35">
      <c r="K6" t="s">
        <v>69</v>
      </c>
      <c r="L6" t="s">
        <v>68</v>
      </c>
      <c r="M6">
        <v>0.35712235581224999</v>
      </c>
      <c r="N6">
        <v>3.02375711122677E-2</v>
      </c>
      <c r="O6">
        <v>-4.6918277081379399E-4</v>
      </c>
      <c r="P6" s="3">
        <v>5.97161659847095E-5</v>
      </c>
      <c r="Q6">
        <v>2.65046941847818E-2</v>
      </c>
      <c r="R6">
        <v>2.76745716325699</v>
      </c>
      <c r="S6">
        <v>2.5899999999999999E-2</v>
      </c>
      <c r="AJ6">
        <f t="shared" si="1"/>
        <v>0</v>
      </c>
    </row>
    <row r="7" spans="1:36" x14ac:dyDescent="0.35">
      <c r="M7">
        <v>0.37785453807361002</v>
      </c>
      <c r="N7">
        <v>3.09564212639553E-2</v>
      </c>
      <c r="O7">
        <v>-3.50602953799488E-4</v>
      </c>
      <c r="P7" s="3">
        <v>-6.2966807252791095E-5</v>
      </c>
      <c r="Q7">
        <v>2.79366574318681E-2</v>
      </c>
      <c r="R7">
        <v>2.75</v>
      </c>
      <c r="S7">
        <v>2.69E-2</v>
      </c>
      <c r="U7">
        <v>5.1234164992704799E-2</v>
      </c>
      <c r="V7">
        <v>3.8259948894821399E-2</v>
      </c>
      <c r="W7">
        <v>4.4814266376105798E-2</v>
      </c>
      <c r="X7">
        <v>6.0862975851584997E-2</v>
      </c>
      <c r="Y7">
        <v>5.48420889037015E-2</v>
      </c>
      <c r="Z7">
        <v>5.6458543047319898E-2</v>
      </c>
      <c r="AA7">
        <v>4.0734452118421499E-2</v>
      </c>
      <c r="AB7">
        <v>3.8297184725768603E-2</v>
      </c>
      <c r="AC7">
        <v>4.3852551815306499E-2</v>
      </c>
      <c r="AD7">
        <v>2.7933024296346001E-2</v>
      </c>
      <c r="AE7">
        <v>3.5049406089244999E-2</v>
      </c>
      <c r="AF7">
        <v>4.8820366633018003E-2</v>
      </c>
      <c r="AG7">
        <v>6.05345104621361E-2</v>
      </c>
      <c r="AH7">
        <v>3.8063878103366602E-2</v>
      </c>
      <c r="AI7">
        <f t="shared" si="2"/>
        <v>4.5696954450703341E-2</v>
      </c>
      <c r="AJ7">
        <f t="shared" si="1"/>
        <v>6.0862975851584997E-2</v>
      </c>
    </row>
    <row r="9" spans="1:36" x14ac:dyDescent="0.35">
      <c r="K9" t="s">
        <v>72</v>
      </c>
      <c r="M9">
        <v>0.42413814</v>
      </c>
      <c r="N9">
        <v>3.9082199999999997E-2</v>
      </c>
      <c r="Q9">
        <v>2.8748114500000001E-2</v>
      </c>
      <c r="R9">
        <v>2.75</v>
      </c>
      <c r="S9">
        <v>3.32E-2</v>
      </c>
    </row>
    <row r="10" spans="1:36" x14ac:dyDescent="0.35">
      <c r="L10" t="s">
        <v>64</v>
      </c>
      <c r="M10">
        <v>0.37622299999999997</v>
      </c>
      <c r="N10">
        <v>3.7999999999999999E-2</v>
      </c>
      <c r="O10">
        <v>-2.2734600000000001E-2</v>
      </c>
      <c r="P10">
        <v>-3.2859999999999999E-3</v>
      </c>
      <c r="Q10">
        <v>2.8748114500000001E-2</v>
      </c>
      <c r="R10">
        <v>2.75</v>
      </c>
      <c r="S10">
        <v>3.1800000000000002E-2</v>
      </c>
    </row>
    <row r="11" spans="1:36" x14ac:dyDescent="0.35">
      <c r="L11" t="s">
        <v>68</v>
      </c>
      <c r="M11">
        <v>0.41625000000000001</v>
      </c>
      <c r="N11">
        <v>3.8800000000000001E-2</v>
      </c>
      <c r="O11" s="3">
        <v>-6.5531999999999995E-5</v>
      </c>
      <c r="P11" s="3">
        <v>1.84218E-13</v>
      </c>
      <c r="Q11">
        <v>2.8748114500000001E-2</v>
      </c>
      <c r="R11">
        <v>2.75</v>
      </c>
      <c r="S11">
        <v>3.1899999999999998E-2</v>
      </c>
    </row>
    <row r="12" spans="1:36" x14ac:dyDescent="0.35">
      <c r="C12" s="1"/>
      <c r="D12" s="1"/>
      <c r="E12" s="1"/>
      <c r="F12" s="1"/>
      <c r="G12" s="1"/>
      <c r="H12" s="1"/>
      <c r="I12" s="1"/>
    </row>
    <row r="13" spans="1:36" x14ac:dyDescent="0.35">
      <c r="K13" t="s">
        <v>73</v>
      </c>
      <c r="L13" t="s">
        <v>74</v>
      </c>
      <c r="M13">
        <v>0.42899999999999999</v>
      </c>
      <c r="N13">
        <v>3.5487999999999999E-2</v>
      </c>
      <c r="O13">
        <v>-2.7313E-2</v>
      </c>
      <c r="P13">
        <v>0.21613099999999999</v>
      </c>
      <c r="Q13">
        <v>2.8748114500000001E-2</v>
      </c>
      <c r="R13">
        <v>2.75</v>
      </c>
      <c r="S13">
        <v>3.1399999999999997E-2</v>
      </c>
    </row>
    <row r="15" spans="1:36" x14ac:dyDescent="0.35">
      <c r="L15" t="s">
        <v>76</v>
      </c>
      <c r="M15">
        <v>0.39981126076461199</v>
      </c>
      <c r="N15">
        <v>2.7637158407232701E-2</v>
      </c>
      <c r="O15">
        <v>4.4140152578491298E-2</v>
      </c>
      <c r="P15">
        <v>0.56586955967774</v>
      </c>
      <c r="Q15">
        <v>2.8035179305768501E-2</v>
      </c>
      <c r="R15">
        <v>2.75</v>
      </c>
      <c r="S15">
        <v>2.7699999999999999E-2</v>
      </c>
    </row>
    <row r="17" spans="1:36" x14ac:dyDescent="0.35">
      <c r="M17">
        <v>0.4194367</v>
      </c>
      <c r="N17">
        <v>3.7393999999999997E-2</v>
      </c>
      <c r="O17">
        <v>0.466559</v>
      </c>
      <c r="P17">
        <v>4.8713169000000001E-2</v>
      </c>
      <c r="Q17">
        <v>2.8479999999999998E-2</v>
      </c>
      <c r="R17">
        <v>2.75</v>
      </c>
      <c r="S17">
        <v>2.8299999999999999E-2</v>
      </c>
    </row>
    <row r="20" spans="1:36" x14ac:dyDescent="0.35">
      <c r="L20" t="s">
        <v>79</v>
      </c>
      <c r="M20">
        <v>0.41926581468005703</v>
      </c>
      <c r="N20">
        <v>3.7495827721524599E-2</v>
      </c>
      <c r="O20">
        <v>-2.8548540202457E-2</v>
      </c>
      <c r="P20">
        <v>0.50025513791170295</v>
      </c>
      <c r="Q20">
        <v>2.8487736198670999E-2</v>
      </c>
    </row>
    <row r="22" spans="1:36" x14ac:dyDescent="0.35">
      <c r="J22" t="s">
        <v>67</v>
      </c>
      <c r="L22" t="s">
        <v>1</v>
      </c>
      <c r="M22" t="s">
        <v>8</v>
      </c>
      <c r="N22" t="s">
        <v>91</v>
      </c>
      <c r="O22" t="s">
        <v>92</v>
      </c>
      <c r="P22" t="s">
        <v>30</v>
      </c>
      <c r="Q22" t="s">
        <v>31</v>
      </c>
      <c r="R22" t="s">
        <v>32</v>
      </c>
      <c r="S22" t="s">
        <v>93</v>
      </c>
    </row>
    <row r="23" spans="1:36" x14ac:dyDescent="0.35">
      <c r="J23">
        <v>8.6664800735321602E-3</v>
      </c>
      <c r="L23">
        <v>1.2912198052586501</v>
      </c>
      <c r="M23">
        <v>0.105153574728946</v>
      </c>
      <c r="N23">
        <v>0.97638674847654905</v>
      </c>
      <c r="O23">
        <v>2.07477343551728E-3</v>
      </c>
      <c r="P23">
        <v>1.8594985353409501</v>
      </c>
      <c r="Q23">
        <v>-1.12713554432355</v>
      </c>
      <c r="R23">
        <v>0.31350918607919698</v>
      </c>
      <c r="S23" t="s">
        <v>94</v>
      </c>
      <c r="U23">
        <v>0.13882229410465799</v>
      </c>
      <c r="V23">
        <v>8.8882108657780207E-2</v>
      </c>
      <c r="W23">
        <v>5.65057742571132E-2</v>
      </c>
      <c r="X23">
        <v>2.8046989555059E-2</v>
      </c>
      <c r="Y23">
        <v>4.3690120832209203E-2</v>
      </c>
      <c r="Z23">
        <v>4.0592669917591299E-2</v>
      </c>
      <c r="AA23">
        <v>3.5260866002710799E-2</v>
      </c>
      <c r="AB23">
        <v>3.1745399094285802E-2</v>
      </c>
      <c r="AC23">
        <v>4.9400400011878898E-2</v>
      </c>
      <c r="AD23">
        <v>4.8850397828610503E-2</v>
      </c>
      <c r="AE23">
        <v>4.6875567124486303E-2</v>
      </c>
      <c r="AF23">
        <v>8.2336219098482599E-2</v>
      </c>
      <c r="AG23">
        <v>8.0954798564439295E-2</v>
      </c>
      <c r="AH23">
        <v>4.0953117232746902E-2</v>
      </c>
      <c r="AI23">
        <f t="shared" ref="AI23" si="3">AVERAGE(U23:AH23)</f>
        <v>5.8065480163003717E-2</v>
      </c>
      <c r="AJ23">
        <f t="shared" ref="AJ23" si="4">MAX(U23:AH23)</f>
        <v>0.13882229410465799</v>
      </c>
    </row>
    <row r="24" spans="1:36" x14ac:dyDescent="0.35">
      <c r="AJ24">
        <f t="shared" ref="AJ24:AJ25" si="5">MAX(U24:AH24)</f>
        <v>0</v>
      </c>
    </row>
    <row r="25" spans="1:36" ht="18" x14ac:dyDescent="0.35">
      <c r="A25" s="4">
        <v>2.7830761999999998E-2</v>
      </c>
      <c r="B25">
        <v>2.75</v>
      </c>
      <c r="C25" t="s">
        <v>75</v>
      </c>
      <c r="L25">
        <v>1.73536146428132</v>
      </c>
      <c r="M25">
        <v>0.122497562837804</v>
      </c>
      <c r="N25">
        <v>7.8096022621491796</v>
      </c>
      <c r="O25">
        <v>-0.34096357773369201</v>
      </c>
      <c r="P25">
        <v>3.64497040681416</v>
      </c>
      <c r="Q25">
        <v>-3.1168273646993998</v>
      </c>
      <c r="R25">
        <v>1.0652016896496299</v>
      </c>
      <c r="S25" t="s">
        <v>95</v>
      </c>
      <c r="U25">
        <v>5.5401413135515602E-2</v>
      </c>
      <c r="V25">
        <v>3.9637876037935102E-2</v>
      </c>
      <c r="W25">
        <v>4.2600230108829303E-2</v>
      </c>
      <c r="X25">
        <v>5.1289932459919398E-2</v>
      </c>
      <c r="Y25">
        <v>5.3171169192615698E-2</v>
      </c>
      <c r="Z25">
        <v>5.2316765230738201E-2</v>
      </c>
      <c r="AA25">
        <v>3.5552269393955102E-2</v>
      </c>
      <c r="AB25">
        <v>2.9216816033929699E-2</v>
      </c>
      <c r="AC25">
        <v>3.9350285132739103E-2</v>
      </c>
      <c r="AD25">
        <v>4.0806073113417898E-2</v>
      </c>
      <c r="AE25">
        <v>4.46299858844484E-2</v>
      </c>
      <c r="AF25">
        <v>5.4961783145176399E-2</v>
      </c>
      <c r="AG25">
        <v>6.2335329558024503E-2</v>
      </c>
      <c r="AH25">
        <v>3.6440245023837699E-2</v>
      </c>
      <c r="AI25">
        <f t="shared" ref="AI25" si="6">AVERAGE(U25:AH25)</f>
        <v>4.5550726675077279E-2</v>
      </c>
      <c r="AJ25">
        <f t="shared" si="5"/>
        <v>6.2335329558024503E-2</v>
      </c>
    </row>
    <row r="26" spans="1:36" x14ac:dyDescent="0.35">
      <c r="A26" t="s">
        <v>2</v>
      </c>
      <c r="B26" t="s">
        <v>43</v>
      </c>
      <c r="C26" t="s">
        <v>3</v>
      </c>
      <c r="D26" t="s">
        <v>27</v>
      </c>
      <c r="E26" t="s">
        <v>28</v>
      </c>
      <c r="F26" t="s">
        <v>4</v>
      </c>
      <c r="G26" t="s">
        <v>18</v>
      </c>
      <c r="H26" t="s">
        <v>41</v>
      </c>
      <c r="I26" t="s">
        <v>42</v>
      </c>
    </row>
    <row r="27" spans="1:36" x14ac:dyDescent="0.35">
      <c r="A27" t="s">
        <v>25</v>
      </c>
      <c r="C27" t="s">
        <v>26</v>
      </c>
      <c r="D27">
        <v>6.01999007087735E-4</v>
      </c>
      <c r="E27">
        <v>-249.95164112018099</v>
      </c>
      <c r="G27">
        <v>4.2659999999999998E-3</v>
      </c>
    </row>
    <row r="28" spans="1:36" x14ac:dyDescent="0.35">
      <c r="D28">
        <v>0.88788125500000004</v>
      </c>
      <c r="G28">
        <v>1.7739999999999999E-2</v>
      </c>
    </row>
    <row r="29" spans="1:36" x14ac:dyDescent="0.35">
      <c r="A29" t="s">
        <v>60</v>
      </c>
      <c r="D29">
        <v>0.76219984569010701</v>
      </c>
      <c r="G29">
        <v>2.52152020138104E-2</v>
      </c>
    </row>
    <row r="31" spans="1:36" x14ac:dyDescent="0.35">
      <c r="A31" t="s">
        <v>61</v>
      </c>
      <c r="C31" t="s">
        <v>58</v>
      </c>
      <c r="D31">
        <v>0.74675215149792995</v>
      </c>
      <c r="G31">
        <v>2.1163383343483999E-2</v>
      </c>
    </row>
    <row r="32" spans="1:36" x14ac:dyDescent="0.35">
      <c r="D32">
        <v>0.63017380584554505</v>
      </c>
      <c r="E32">
        <v>-3.2990716374660299E-2</v>
      </c>
      <c r="G32">
        <v>2.1045612252032699E-2</v>
      </c>
    </row>
    <row r="33" spans="1:36" x14ac:dyDescent="0.35">
      <c r="A33" t="s">
        <v>60</v>
      </c>
      <c r="C33" t="s">
        <v>9</v>
      </c>
      <c r="D33">
        <v>6.4449454100000002E-4</v>
      </c>
      <c r="E33">
        <v>-200.2027836</v>
      </c>
      <c r="J33">
        <v>4.0255708910872698E-2</v>
      </c>
      <c r="L33">
        <v>2.09866287580761</v>
      </c>
      <c r="M33">
        <v>0.18253435679428101</v>
      </c>
      <c r="P33">
        <v>4.9312114473935598</v>
      </c>
      <c r="Q33">
        <v>-4.3803644866073297</v>
      </c>
      <c r="R33">
        <v>1.5692761444493599</v>
      </c>
      <c r="S33" t="s">
        <v>96</v>
      </c>
      <c r="U33">
        <v>7.9232421605776607E-2</v>
      </c>
      <c r="V33">
        <v>3.7243363873586302E-2</v>
      </c>
      <c r="W33">
        <v>2.95582241269002E-2</v>
      </c>
      <c r="X33">
        <v>5.1410013768431698E-2</v>
      </c>
      <c r="Y33">
        <v>4.71942381303962E-2</v>
      </c>
      <c r="Z33">
        <v>4.4741514161908302E-2</v>
      </c>
      <c r="AA33">
        <v>2.9367000480655301E-2</v>
      </c>
      <c r="AB33">
        <v>2.6902737767150301E-2</v>
      </c>
      <c r="AC33">
        <v>4.7749430375992601E-2</v>
      </c>
      <c r="AD33">
        <v>5.1278538706461999E-2</v>
      </c>
      <c r="AE33">
        <v>5.6652553401637801E-2</v>
      </c>
      <c r="AF33">
        <v>7.2142177547272798E-2</v>
      </c>
      <c r="AG33">
        <v>8.0250496748239794E-2</v>
      </c>
      <c r="AH33">
        <v>4.4707826414071401E-2</v>
      </c>
      <c r="AI33">
        <f t="shared" ref="AI33" si="7">AVERAGE(U33:AH33)</f>
        <v>4.9887895507748671E-2</v>
      </c>
      <c r="AJ33">
        <f t="shared" ref="AJ33" si="8">MAX(U33:AH33)</f>
        <v>8.0250496748239794E-2</v>
      </c>
    </row>
    <row r="34" spans="1:36" x14ac:dyDescent="0.35">
      <c r="A34" t="s">
        <v>61</v>
      </c>
      <c r="C34" t="s">
        <v>9</v>
      </c>
      <c r="L34" t="s">
        <v>1</v>
      </c>
      <c r="M34" t="s">
        <v>8</v>
      </c>
      <c r="N34" t="s">
        <v>87</v>
      </c>
      <c r="P34" t="s">
        <v>30</v>
      </c>
      <c r="Q34" t="s">
        <v>31</v>
      </c>
      <c r="R34" t="s">
        <v>32</v>
      </c>
      <c r="S34" t="s">
        <v>98</v>
      </c>
    </row>
    <row r="35" spans="1:36" x14ac:dyDescent="0.35">
      <c r="J35">
        <v>3.89870962889153E-2</v>
      </c>
      <c r="K35" s="1" t="s">
        <v>97</v>
      </c>
      <c r="L35">
        <v>1.8638835365906199</v>
      </c>
      <c r="M35">
        <v>0.16581498957496801</v>
      </c>
      <c r="N35">
        <v>-0.48046352062154102</v>
      </c>
      <c r="P35">
        <v>4.5741858969398201</v>
      </c>
      <c r="Q35">
        <v>-4.1011461435979397</v>
      </c>
      <c r="R35">
        <v>1.4584557010947901</v>
      </c>
      <c r="S35" t="s">
        <v>99</v>
      </c>
      <c r="U35">
        <v>8.9936189601827796E-2</v>
      </c>
      <c r="V35">
        <v>4.0476937366221703E-2</v>
      </c>
      <c r="W35">
        <v>3.2468215084719601E-2</v>
      </c>
      <c r="X35">
        <v>5.5544571184050998E-2</v>
      </c>
      <c r="Y35">
        <v>4.7486349684181202E-2</v>
      </c>
      <c r="Z35">
        <v>4.7673347285440003E-2</v>
      </c>
      <c r="AA35">
        <v>2.73687819171811E-2</v>
      </c>
      <c r="AB35">
        <v>2.5837726323641199E-2</v>
      </c>
      <c r="AC35">
        <v>4.3817045294411501E-2</v>
      </c>
      <c r="AD35">
        <v>5.1283690290308499E-2</v>
      </c>
      <c r="AE35">
        <v>5.86790797149584E-2</v>
      </c>
      <c r="AF35">
        <v>7.1596047615446898E-2</v>
      </c>
      <c r="AG35">
        <v>7.9554823799804303E-2</v>
      </c>
      <c r="AH35">
        <v>4.8203858776284497E-2</v>
      </c>
      <c r="AI35">
        <f t="shared" ref="AI35" si="9">AVERAGE(U35:AH35)</f>
        <v>5.1423333138462694E-2</v>
      </c>
      <c r="AJ35">
        <f t="shared" ref="AJ35" si="10">MAX(U35:AH35)</f>
        <v>8.9936189601827796E-2</v>
      </c>
    </row>
    <row r="37" spans="1:36" x14ac:dyDescent="0.35">
      <c r="J37">
        <v>3.7520748444016698E-2</v>
      </c>
      <c r="L37">
        <v>0.989594327694723</v>
      </c>
      <c r="M37">
        <v>8.5130871844569703E-2</v>
      </c>
      <c r="P37">
        <v>-1.5490846097348201</v>
      </c>
      <c r="Q37">
        <v>3.76231558049522</v>
      </c>
      <c r="R37">
        <v>-1.84821482870778</v>
      </c>
      <c r="S37">
        <v>0.3213353087736</v>
      </c>
      <c r="U37">
        <v>8.5661474764733306E-2</v>
      </c>
      <c r="V37">
        <v>3.6551373174108101E-2</v>
      </c>
      <c r="W37">
        <v>3.2103521519558698E-2</v>
      </c>
      <c r="X37">
        <v>5.46457060890723E-2</v>
      </c>
      <c r="Y37">
        <v>4.6119407290820098E-2</v>
      </c>
      <c r="Z37">
        <v>4.6077557881249197E-2</v>
      </c>
      <c r="AA37">
        <v>2.6392124861984001E-2</v>
      </c>
      <c r="AB37">
        <v>2.4994157643032502E-2</v>
      </c>
      <c r="AC37">
        <v>4.1706500583473798E-2</v>
      </c>
      <c r="AD37">
        <v>5.1836528398500503E-2</v>
      </c>
      <c r="AE37">
        <v>5.8441655937159102E-2</v>
      </c>
      <c r="AF37">
        <v>7.1863141545323597E-2</v>
      </c>
      <c r="AG37">
        <v>7.8931333284229493E-2</v>
      </c>
      <c r="AH37">
        <v>4.5280566074442502E-2</v>
      </c>
      <c r="AI37">
        <f t="shared" ref="AI37" si="11">AVERAGE(U37:AH37)</f>
        <v>5.0043217789120513E-2</v>
      </c>
      <c r="AJ37">
        <f t="shared" ref="AJ37" si="12">MAX(U37:AH37)</f>
        <v>8.5661474764733306E-2</v>
      </c>
    </row>
    <row r="38" spans="1:36" x14ac:dyDescent="0.35">
      <c r="C38" s="1"/>
      <c r="D38" s="1"/>
      <c r="E38" s="1"/>
      <c r="F38" s="1"/>
      <c r="G38" s="1"/>
      <c r="H38" s="1"/>
      <c r="I38" s="1"/>
    </row>
    <row r="42" spans="1:36" x14ac:dyDescent="0.35">
      <c r="L42" t="s">
        <v>1</v>
      </c>
      <c r="M42" t="s">
        <v>8</v>
      </c>
      <c r="N42" t="s">
        <v>100</v>
      </c>
      <c r="P42" t="s">
        <v>30</v>
      </c>
      <c r="Q42" t="s">
        <v>31</v>
      </c>
      <c r="R42" t="s">
        <v>32</v>
      </c>
    </row>
    <row r="43" spans="1:36" x14ac:dyDescent="0.35">
      <c r="J43">
        <v>2.72606803189747E-2</v>
      </c>
      <c r="K43" s="5" t="s">
        <v>102</v>
      </c>
      <c r="L43">
        <v>0.50759338061038195</v>
      </c>
      <c r="M43">
        <v>4.6243804764304397E-2</v>
      </c>
      <c r="N43">
        <v>1.3016771263302001</v>
      </c>
      <c r="P43">
        <v>2.5440604555794399</v>
      </c>
      <c r="Q43">
        <v>-1.92668179653528</v>
      </c>
      <c r="R43">
        <v>0.59210973823463997</v>
      </c>
      <c r="U43">
        <v>5.0661355062223599E-2</v>
      </c>
      <c r="V43">
        <v>3.7598961922698897E-2</v>
      </c>
      <c r="W43">
        <v>3.9199152941822198E-2</v>
      </c>
      <c r="X43">
        <v>4.62344981307636E-2</v>
      </c>
      <c r="Y43">
        <v>5.5398284580927597E-2</v>
      </c>
      <c r="Z43">
        <v>5.3973297894156898E-2</v>
      </c>
      <c r="AA43">
        <v>3.5868981542491699E-2</v>
      </c>
      <c r="AB43">
        <v>3.0051497756079602E-2</v>
      </c>
      <c r="AC43">
        <v>4.40439956814766E-2</v>
      </c>
      <c r="AD43">
        <v>3.7386341742897802E-2</v>
      </c>
      <c r="AE43">
        <v>3.1701056031304298E-2</v>
      </c>
      <c r="AF43">
        <v>3.2596088296926E-2</v>
      </c>
      <c r="AG43">
        <v>5.5501385642346301E-2</v>
      </c>
      <c r="AH43">
        <v>6.8996382393689507E-2</v>
      </c>
      <c r="AI43">
        <f t="shared" ref="AI43" si="13">AVERAGE(U43:AH43)</f>
        <v>4.4229377115700338E-2</v>
      </c>
      <c r="AJ43">
        <f t="shared" ref="AJ43" si="14">MAX(U43:AH43)</f>
        <v>6.8996382393689507E-2</v>
      </c>
    </row>
    <row r="44" spans="1:36" x14ac:dyDescent="0.35">
      <c r="A44">
        <v>0.2848</v>
      </c>
      <c r="B44">
        <v>2.75</v>
      </c>
      <c r="C44" t="s">
        <v>77</v>
      </c>
    </row>
    <row r="45" spans="1:36" x14ac:dyDescent="0.35">
      <c r="A45" t="s">
        <v>2</v>
      </c>
      <c r="B45" t="s">
        <v>43</v>
      </c>
      <c r="C45" t="s">
        <v>3</v>
      </c>
      <c r="D45" t="s">
        <v>27</v>
      </c>
      <c r="E45" t="s">
        <v>78</v>
      </c>
      <c r="F45" t="s">
        <v>4</v>
      </c>
      <c r="G45" t="s">
        <v>18</v>
      </c>
      <c r="H45" t="s">
        <v>41</v>
      </c>
      <c r="I45" t="s">
        <v>42</v>
      </c>
    </row>
    <row r="46" spans="1:36" x14ac:dyDescent="0.35">
      <c r="C46" t="s">
        <v>1</v>
      </c>
    </row>
    <row r="47" spans="1:36" x14ac:dyDescent="0.35">
      <c r="J47">
        <v>2.7024463324815302E-2</v>
      </c>
      <c r="K47" t="s">
        <v>102</v>
      </c>
      <c r="L47" t="s">
        <v>1</v>
      </c>
      <c r="M47" t="s">
        <v>8</v>
      </c>
      <c r="N47" t="s">
        <v>135</v>
      </c>
      <c r="O47" t="s">
        <v>136</v>
      </c>
      <c r="P47" t="s">
        <v>30</v>
      </c>
      <c r="Q47" t="s">
        <v>31</v>
      </c>
      <c r="R47" t="s">
        <v>32</v>
      </c>
    </row>
    <row r="48" spans="1:36" x14ac:dyDescent="0.35">
      <c r="L48">
        <v>0.60676895694566602</v>
      </c>
      <c r="M48">
        <v>6.47119131236987E-2</v>
      </c>
      <c r="N48" s="6">
        <v>1.2217854617291399</v>
      </c>
      <c r="O48" s="6">
        <v>1.3287119816677699</v>
      </c>
      <c r="P48" s="6">
        <v>3.7381831539582602</v>
      </c>
      <c r="Q48" s="6">
        <v>-3.2063341251699402</v>
      </c>
      <c r="R48" s="6">
        <v>1.0682318039518699</v>
      </c>
      <c r="U48">
        <v>5.9275974544997702E-2</v>
      </c>
      <c r="V48">
        <v>3.7185077425578403E-2</v>
      </c>
      <c r="W48">
        <v>3.5639889185220298E-2</v>
      </c>
      <c r="X48">
        <v>4.6642855453321301E-2</v>
      </c>
      <c r="Y48">
        <v>5.6095139544776698E-2</v>
      </c>
      <c r="Z48">
        <v>5.5650243953877902E-2</v>
      </c>
      <c r="AA48">
        <v>3.7636565389148502E-2</v>
      </c>
      <c r="AB48">
        <v>3.3106333511751601E-2</v>
      </c>
      <c r="AC48">
        <v>4.4462869317971797E-2</v>
      </c>
      <c r="AD48">
        <v>3.6313350708495E-2</v>
      </c>
      <c r="AE48">
        <v>3.2030084469889399E-2</v>
      </c>
      <c r="AF48">
        <v>3.36037256350517E-2</v>
      </c>
      <c r="AG48">
        <v>5.6057352407490199E-2</v>
      </c>
      <c r="AH48">
        <v>6.2906317147923801E-2</v>
      </c>
      <c r="AI48">
        <f t="shared" ref="AI48" si="15">AVERAGE(U48:AH48)</f>
        <v>4.4757555621106733E-2</v>
      </c>
      <c r="AJ48">
        <f t="shared" ref="AJ48" si="16">MAX(U48:AH48)</f>
        <v>6.2906317147923801E-2</v>
      </c>
    </row>
    <row r="49" spans="1:18" x14ac:dyDescent="0.35">
      <c r="A49" t="s">
        <v>25</v>
      </c>
      <c r="C49" t="s">
        <v>26</v>
      </c>
    </row>
    <row r="51" spans="1:18" x14ac:dyDescent="0.35">
      <c r="A51" t="s">
        <v>60</v>
      </c>
      <c r="D51">
        <v>0.774571519272511</v>
      </c>
      <c r="E51">
        <v>1.50459391376</v>
      </c>
    </row>
    <row r="53" spans="1:18" x14ac:dyDescent="0.35">
      <c r="A53" t="s">
        <v>61</v>
      </c>
      <c r="C53" t="s">
        <v>58</v>
      </c>
    </row>
    <row r="55" spans="1:18" x14ac:dyDescent="0.35">
      <c r="A55" t="s">
        <v>60</v>
      </c>
      <c r="C55" t="s">
        <v>9</v>
      </c>
    </row>
    <row r="56" spans="1:18" x14ac:dyDescent="0.35">
      <c r="A56" t="s">
        <v>61</v>
      </c>
      <c r="C56" t="s">
        <v>9</v>
      </c>
      <c r="J56">
        <v>3.0345132672149899E-2</v>
      </c>
      <c r="K56" t="s">
        <v>140</v>
      </c>
      <c r="L56" t="s">
        <v>1</v>
      </c>
      <c r="M56" t="s">
        <v>8</v>
      </c>
      <c r="N56" t="s">
        <v>135</v>
      </c>
      <c r="O56" t="s">
        <v>136</v>
      </c>
      <c r="P56" t="s">
        <v>30</v>
      </c>
      <c r="Q56" t="s">
        <v>31</v>
      </c>
      <c r="R56" t="s">
        <v>32</v>
      </c>
    </row>
    <row r="57" spans="1:18" x14ac:dyDescent="0.35">
      <c r="L57">
        <v>0.42378996509501299</v>
      </c>
      <c r="M57">
        <v>3.3404761023304898E-2</v>
      </c>
      <c r="N57">
        <v>0.94104690943638802</v>
      </c>
      <c r="O57">
        <v>1.0598416765590299</v>
      </c>
      <c r="P57">
        <v>7.3506986809024104</v>
      </c>
      <c r="Q57">
        <v>-7.9990722369503002</v>
      </c>
      <c r="R57">
        <v>3.1165905432360099</v>
      </c>
    </row>
    <row r="60" spans="1:18" x14ac:dyDescent="0.35">
      <c r="C60" s="1"/>
      <c r="D60" s="1"/>
      <c r="E60" s="1"/>
      <c r="F60" s="1"/>
      <c r="G60" s="1"/>
      <c r="H60" s="1"/>
      <c r="I60" s="1"/>
    </row>
    <row r="68" spans="1:9" x14ac:dyDescent="0.35">
      <c r="A68" t="s">
        <v>12</v>
      </c>
      <c r="B68" s="5" t="s">
        <v>80</v>
      </c>
      <c r="E68" s="5" t="s">
        <v>81</v>
      </c>
      <c r="F68" s="5">
        <v>-1.1011873999999999</v>
      </c>
      <c r="G68">
        <v>-0.88103719599999997</v>
      </c>
    </row>
    <row r="69" spans="1:9" x14ac:dyDescent="0.35">
      <c r="A69" t="s">
        <v>11</v>
      </c>
      <c r="B69" s="5" t="s">
        <v>83</v>
      </c>
      <c r="E69" s="5"/>
      <c r="F69" s="5">
        <v>-0.83745220834717504</v>
      </c>
      <c r="G69">
        <v>-0.80838135</v>
      </c>
    </row>
    <row r="70" spans="1:9" x14ac:dyDescent="0.35">
      <c r="A70" t="s">
        <v>10</v>
      </c>
      <c r="B70" t="s">
        <v>82</v>
      </c>
      <c r="F70">
        <v>-0.76947469414722003</v>
      </c>
      <c r="G70">
        <v>-0.83552811599999999</v>
      </c>
      <c r="H70">
        <f>0.5*(G68-G70)</f>
        <v>-2.275453999999999E-2</v>
      </c>
    </row>
    <row r="71" spans="1:9" x14ac:dyDescent="0.35">
      <c r="A71" t="s">
        <v>84</v>
      </c>
      <c r="B71" t="s">
        <v>85</v>
      </c>
      <c r="F71">
        <v>-0.603827400858999</v>
      </c>
      <c r="G71">
        <v>-0.81929300000000005</v>
      </c>
      <c r="H71">
        <f>G70-G71</f>
        <v>-1.6235115999999938E-2</v>
      </c>
    </row>
    <row r="72" spans="1:9" x14ac:dyDescent="0.35">
      <c r="G72">
        <f>AVERAGE(G68:G71)</f>
        <v>-0.83605991550000003</v>
      </c>
    </row>
    <row r="74" spans="1:9" x14ac:dyDescent="0.35">
      <c r="A74" t="s">
        <v>47</v>
      </c>
      <c r="B74" t="s">
        <v>87</v>
      </c>
      <c r="C74" t="s">
        <v>30</v>
      </c>
      <c r="D74" t="s">
        <v>31</v>
      </c>
      <c r="E74" t="s">
        <v>32</v>
      </c>
      <c r="F74" t="s">
        <v>88</v>
      </c>
      <c r="G74" t="s">
        <v>89</v>
      </c>
      <c r="H74" t="s">
        <v>90</v>
      </c>
      <c r="I74" t="s">
        <v>67</v>
      </c>
    </row>
    <row r="75" spans="1:9" x14ac:dyDescent="0.35">
      <c r="A75" t="s">
        <v>86</v>
      </c>
      <c r="B75">
        <v>-0.29010000000000002</v>
      </c>
      <c r="C75">
        <v>0.61980000000000002</v>
      </c>
      <c r="D75">
        <v>-0.355485</v>
      </c>
      <c r="E75">
        <v>3.1904000000000002E-2</v>
      </c>
      <c r="F75">
        <v>1.7689999999999999</v>
      </c>
      <c r="G75">
        <v>2.1040000000000001</v>
      </c>
      <c r="H75">
        <v>2.6476000000000002</v>
      </c>
      <c r="I75">
        <v>2.0000000000000001E-4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7503E-4AB5-4806-B500-40D08E4E017C}">
  <dimension ref="A2:C22"/>
  <sheetViews>
    <sheetView zoomScale="85" zoomScaleNormal="85" workbookViewId="0">
      <selection activeCell="B16" sqref="B16"/>
    </sheetView>
  </sheetViews>
  <sheetFormatPr defaultRowHeight="14.5" x14ac:dyDescent="0.35"/>
  <cols>
    <col min="1" max="1" width="20.54296875" customWidth="1"/>
  </cols>
  <sheetData>
    <row r="2" spans="1:3" x14ac:dyDescent="0.35">
      <c r="B2" s="5" t="s">
        <v>113</v>
      </c>
      <c r="C2" s="5" t="s">
        <v>128</v>
      </c>
    </row>
    <row r="3" spans="1:3" x14ac:dyDescent="0.35">
      <c r="A3" t="s">
        <v>108</v>
      </c>
      <c r="B3" t="s">
        <v>120</v>
      </c>
    </row>
    <row r="4" spans="1:3" x14ac:dyDescent="0.35">
      <c r="A4" t="s">
        <v>84</v>
      </c>
      <c r="B4">
        <v>1.592705</v>
      </c>
    </row>
    <row r="5" spans="1:3" x14ac:dyDescent="0.35">
      <c r="A5" t="s">
        <v>114</v>
      </c>
      <c r="B5">
        <v>2.073188</v>
      </c>
    </row>
    <row r="6" spans="1:3" x14ac:dyDescent="0.35">
      <c r="A6" t="s">
        <v>10</v>
      </c>
      <c r="B6">
        <v>1.8167800000000001</v>
      </c>
    </row>
    <row r="7" spans="1:3" x14ac:dyDescent="0.35">
      <c r="A7" t="s">
        <v>115</v>
      </c>
      <c r="B7">
        <v>2.63029</v>
      </c>
    </row>
    <row r="8" spans="1:3" x14ac:dyDescent="0.35">
      <c r="A8" t="s">
        <v>11</v>
      </c>
      <c r="B8">
        <v>1.9209000000000001</v>
      </c>
    </row>
    <row r="9" spans="1:3" x14ac:dyDescent="0.35">
      <c r="A9" t="s">
        <v>116</v>
      </c>
      <c r="B9">
        <v>2.052486</v>
      </c>
    </row>
    <row r="10" spans="1:3" x14ac:dyDescent="0.35">
      <c r="A10" t="s">
        <v>12</v>
      </c>
      <c r="B10">
        <v>1.251566</v>
      </c>
    </row>
    <row r="11" spans="1:3" x14ac:dyDescent="0.35">
      <c r="A11" t="s">
        <v>117</v>
      </c>
      <c r="B11">
        <v>1.5249999999999999</v>
      </c>
    </row>
    <row r="12" spans="1:3" x14ac:dyDescent="0.35">
      <c r="A12" t="s">
        <v>13</v>
      </c>
      <c r="B12">
        <v>0.77839999999999998</v>
      </c>
    </row>
    <row r="13" spans="1:3" x14ac:dyDescent="0.35">
      <c r="A13" t="s">
        <v>118</v>
      </c>
      <c r="B13">
        <v>1.0543</v>
      </c>
    </row>
    <row r="14" spans="1:3" x14ac:dyDescent="0.35">
      <c r="A14" t="s">
        <v>14</v>
      </c>
      <c r="B14">
        <v>0.75558400000000003</v>
      </c>
    </row>
    <row r="15" spans="1:3" x14ac:dyDescent="0.35">
      <c r="A15" t="s">
        <v>119</v>
      </c>
      <c r="B15">
        <v>0.96621089606553801</v>
      </c>
    </row>
    <row r="16" spans="1:3" x14ac:dyDescent="0.35">
      <c r="A16" s="5" t="s">
        <v>121</v>
      </c>
      <c r="B16">
        <v>2.2703552487666201</v>
      </c>
    </row>
    <row r="17" spans="1:2" x14ac:dyDescent="0.35">
      <c r="A17" s="5" t="s">
        <v>122</v>
      </c>
      <c r="B17">
        <v>0.28001801815932298</v>
      </c>
    </row>
    <row r="18" spans="1:2" x14ac:dyDescent="0.35">
      <c r="A18" t="s">
        <v>123</v>
      </c>
      <c r="B18">
        <v>2.7597057947877301</v>
      </c>
    </row>
    <row r="19" spans="1:2" x14ac:dyDescent="0.35">
      <c r="A19" t="s">
        <v>124</v>
      </c>
      <c r="B19">
        <v>2.8465045410355501</v>
      </c>
    </row>
    <row r="20" spans="1:2" x14ac:dyDescent="0.35">
      <c r="A20" t="s">
        <v>125</v>
      </c>
      <c r="B20">
        <v>3.28910990759822</v>
      </c>
    </row>
    <row r="21" spans="1:2" x14ac:dyDescent="0.35">
      <c r="A21" s="5" t="s">
        <v>126</v>
      </c>
      <c r="B21">
        <v>0.89520307605958405</v>
      </c>
    </row>
    <row r="22" spans="1:2" x14ac:dyDescent="0.35">
      <c r="A22" t="s">
        <v>127</v>
      </c>
      <c r="B22">
        <v>0.53984300095627202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50DB-0812-4A65-9006-709823148C8F}">
  <dimension ref="A1:AG50"/>
  <sheetViews>
    <sheetView tabSelected="1" zoomScale="79" zoomScaleNormal="85" workbookViewId="0">
      <selection activeCell="H12" sqref="H12"/>
    </sheetView>
  </sheetViews>
  <sheetFormatPr defaultRowHeight="14.5" x14ac:dyDescent="0.35"/>
  <cols>
    <col min="1" max="1" width="11.90625" customWidth="1"/>
    <col min="2" max="2" width="25.90625" customWidth="1"/>
    <col min="4" max="5" width="9" customWidth="1"/>
    <col min="27" max="27" width="15.26953125" customWidth="1"/>
  </cols>
  <sheetData>
    <row r="1" spans="1:33" x14ac:dyDescent="0.35">
      <c r="A1" t="s">
        <v>165</v>
      </c>
      <c r="B1" t="s">
        <v>91</v>
      </c>
      <c r="C1" t="s">
        <v>92</v>
      </c>
      <c r="D1" t="s">
        <v>87</v>
      </c>
      <c r="E1" t="s">
        <v>100</v>
      </c>
      <c r="F1" t="s">
        <v>101</v>
      </c>
      <c r="G1" t="s">
        <v>67</v>
      </c>
      <c r="H1" t="s">
        <v>104</v>
      </c>
      <c r="K1" s="8" t="s">
        <v>164</v>
      </c>
    </row>
    <row r="2" spans="1:33" x14ac:dyDescent="0.35">
      <c r="A2" t="s">
        <v>1</v>
      </c>
      <c r="B2">
        <v>-1.52941746E-2</v>
      </c>
      <c r="C2">
        <v>-0.26365184000000003</v>
      </c>
      <c r="D2">
        <v>-0.93387710800000001</v>
      </c>
      <c r="E2">
        <v>0.41722646000000002</v>
      </c>
      <c r="F2">
        <v>-0.16931550000000001</v>
      </c>
      <c r="G2">
        <v>0.30962800000000001</v>
      </c>
      <c r="K2" t="s">
        <v>43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157</v>
      </c>
      <c r="S2" t="s">
        <v>158</v>
      </c>
      <c r="T2" t="s">
        <v>159</v>
      </c>
      <c r="U2" t="s">
        <v>160</v>
      </c>
      <c r="V2" t="s">
        <v>161</v>
      </c>
      <c r="W2" t="s">
        <v>162</v>
      </c>
      <c r="X2" t="s">
        <v>163</v>
      </c>
      <c r="Y2" t="s">
        <v>50</v>
      </c>
      <c r="Z2" t="s">
        <v>71</v>
      </c>
      <c r="AA2" s="5" t="s">
        <v>122</v>
      </c>
      <c r="AB2" t="s">
        <v>138</v>
      </c>
      <c r="AC2" t="s">
        <v>124</v>
      </c>
      <c r="AD2" t="s">
        <v>125</v>
      </c>
      <c r="AE2" t="s">
        <v>127</v>
      </c>
      <c r="AF2" t="s">
        <v>174</v>
      </c>
      <c r="AG2" t="s">
        <v>175</v>
      </c>
    </row>
    <row r="3" spans="1:33" x14ac:dyDescent="0.35">
      <c r="A3" t="s">
        <v>8</v>
      </c>
      <c r="B3" s="3">
        <v>-8.2218699999999999E-5</v>
      </c>
      <c r="C3">
        <v>-0.27539566799999998</v>
      </c>
      <c r="D3">
        <v>-0.22193830000000001</v>
      </c>
      <c r="K3" t="s">
        <v>169</v>
      </c>
      <c r="L3">
        <v>2.3350713576388502E-2</v>
      </c>
      <c r="M3">
        <v>1.46914698416472E-2</v>
      </c>
      <c r="N3">
        <v>4.4936701973624101E-2</v>
      </c>
      <c r="O3">
        <v>3.7394975243503097E-2</v>
      </c>
      <c r="P3">
        <v>3.2205634305248199E-2</v>
      </c>
      <c r="Q3">
        <v>2.5145835575648801E-2</v>
      </c>
      <c r="R3">
        <v>2.1628688934551998E-2</v>
      </c>
      <c r="S3">
        <v>3.3354814042705502E-2</v>
      </c>
      <c r="T3">
        <v>5.3121270572796302E-2</v>
      </c>
      <c r="U3">
        <v>5.9079478448391398E-2</v>
      </c>
      <c r="V3">
        <v>6.9527752874173995E-2</v>
      </c>
      <c r="W3">
        <v>7.7592666501332896E-2</v>
      </c>
      <c r="X3">
        <v>3.7486775885112497E-2</v>
      </c>
      <c r="Y3">
        <f>AVERAGE(K3:X3)</f>
        <v>4.0732059828855735E-2</v>
      </c>
      <c r="Z3">
        <f>MAX(K3:Y3)</f>
        <v>7.7592666501332896E-2</v>
      </c>
      <c r="AF3" t="e">
        <f t="shared" ref="AF3:AF6" si="0">AVERAGE(AA3:AE3)</f>
        <v>#DIV/0!</v>
      </c>
      <c r="AG3" t="e">
        <f t="shared" ref="AG3:AG6" si="1">MAX(AA3:AF3)</f>
        <v>#DIV/0!</v>
      </c>
    </row>
    <row r="4" spans="1:33" x14ac:dyDescent="0.35">
      <c r="A4" t="s">
        <v>103</v>
      </c>
      <c r="B4">
        <v>4.4688721909179198E-2</v>
      </c>
      <c r="C4">
        <v>-0.38826361874965998</v>
      </c>
      <c r="D4">
        <v>0.71755506256627899</v>
      </c>
      <c r="G4">
        <v>8.2466795331835305E-2</v>
      </c>
      <c r="H4" t="s">
        <v>105</v>
      </c>
      <c r="L4">
        <v>2.4716742553165201E-2</v>
      </c>
      <c r="M4">
        <v>1.4095418714975501E-2</v>
      </c>
      <c r="N4">
        <v>4.3185062508216E-2</v>
      </c>
      <c r="O4">
        <v>3.50610359868554E-2</v>
      </c>
      <c r="P4">
        <v>3.2101207515573202E-2</v>
      </c>
      <c r="Q4">
        <v>2.53336791993805E-2</v>
      </c>
      <c r="R4">
        <v>2.0964010754754799E-2</v>
      </c>
      <c r="S4">
        <v>3.3405319656903201E-2</v>
      </c>
      <c r="T4">
        <v>5.2217500950971198E-2</v>
      </c>
      <c r="U4">
        <v>5.8135358548681002E-2</v>
      </c>
      <c r="V4">
        <v>6.8956157171166793E-2</v>
      </c>
      <c r="W4">
        <v>7.84812517180032E-2</v>
      </c>
      <c r="X4">
        <v>3.9047532372528997E-2</v>
      </c>
      <c r="Y4">
        <f>AVERAGE(K4:X4)</f>
        <v>4.0438482896244229E-2</v>
      </c>
      <c r="Z4">
        <f>MAX(K4:Y4)</f>
        <v>7.84812517180032E-2</v>
      </c>
      <c r="AF4" t="e">
        <f t="shared" si="0"/>
        <v>#DIV/0!</v>
      </c>
      <c r="AG4" t="e">
        <f t="shared" si="1"/>
        <v>#DIV/0!</v>
      </c>
    </row>
    <row r="5" spans="1:33" x14ac:dyDescent="0.35">
      <c r="A5" t="s">
        <v>87</v>
      </c>
      <c r="B5">
        <v>0.19910990463272599</v>
      </c>
      <c r="C5">
        <v>0.214250252588778</v>
      </c>
      <c r="D5">
        <v>1.2896344205815999</v>
      </c>
      <c r="G5">
        <v>3.5400000000000001E-2</v>
      </c>
      <c r="K5" t="s">
        <v>170</v>
      </c>
      <c r="Y5" t="e">
        <f t="shared" ref="Y5:Y6" si="2">AVERAGE(K5:X5)</f>
        <v>#DIV/0!</v>
      </c>
      <c r="Z5" t="e">
        <f t="shared" ref="Z5:Z6" si="3">MAX(K5:Y5)</f>
        <v>#DIV/0!</v>
      </c>
      <c r="AF5" t="e">
        <f t="shared" si="0"/>
        <v>#DIV/0!</v>
      </c>
      <c r="AG5" t="e">
        <f t="shared" si="1"/>
        <v>#DIV/0!</v>
      </c>
    </row>
    <row r="6" spans="1:33" x14ac:dyDescent="0.35">
      <c r="A6" t="s">
        <v>103</v>
      </c>
      <c r="B6">
        <v>4.4865596561655702E-2</v>
      </c>
      <c r="C6">
        <v>-0.39010024540548999</v>
      </c>
      <c r="D6">
        <v>0.71483641405540199</v>
      </c>
      <c r="G6">
        <v>0.1178</v>
      </c>
      <c r="H6" t="s">
        <v>106</v>
      </c>
      <c r="K6" t="s">
        <v>168</v>
      </c>
      <c r="L6">
        <v>3.4147312648326301E-2</v>
      </c>
      <c r="M6">
        <v>2.7321985202204298E-2</v>
      </c>
      <c r="N6">
        <v>4.24592903901427E-2</v>
      </c>
      <c r="O6">
        <v>5.1288191058020897E-2</v>
      </c>
      <c r="P6">
        <v>4.3166378031595697E-2</v>
      </c>
      <c r="Q6">
        <v>2.7177298282397799E-2</v>
      </c>
      <c r="R6">
        <v>2.2332779711195599E-2</v>
      </c>
      <c r="S6">
        <v>2.1136776810946601E-2</v>
      </c>
      <c r="T6">
        <v>2.4455518443766099E-2</v>
      </c>
      <c r="U6">
        <v>2.9562900385291999E-2</v>
      </c>
      <c r="V6">
        <v>3.1159259922271101E-2</v>
      </c>
      <c r="W6">
        <v>5.0001072519244898E-2</v>
      </c>
      <c r="X6">
        <v>4.5753281338054799E-2</v>
      </c>
      <c r="Y6">
        <f t="shared" si="2"/>
        <v>3.4612464980266058E-2</v>
      </c>
      <c r="Z6">
        <f t="shared" si="3"/>
        <v>5.1288191058020897E-2</v>
      </c>
      <c r="AA6">
        <v>0.14340555098629701</v>
      </c>
      <c r="AB6">
        <v>9.0537615139643701E-2</v>
      </c>
      <c r="AC6">
        <v>9.0505285514573902E-2</v>
      </c>
      <c r="AD6">
        <v>0.12581397652599999</v>
      </c>
      <c r="AE6">
        <v>0.20446661985095799</v>
      </c>
      <c r="AF6">
        <f t="shared" si="0"/>
        <v>0.1309458096034945</v>
      </c>
      <c r="AG6">
        <f t="shared" si="1"/>
        <v>0.20446661985095799</v>
      </c>
    </row>
    <row r="7" spans="1:33" x14ac:dyDescent="0.35">
      <c r="A7" t="s">
        <v>87</v>
      </c>
      <c r="B7">
        <v>0.199117120271432</v>
      </c>
      <c r="C7">
        <v>0.22030569466153399</v>
      </c>
      <c r="D7">
        <v>1.29292516365515</v>
      </c>
      <c r="G7">
        <v>0.1178</v>
      </c>
      <c r="Y7" t="e">
        <f>AVERAGE(K7:X7)</f>
        <v>#DIV/0!</v>
      </c>
      <c r="Z7" t="e">
        <f>MAX(K7:Y7)</f>
        <v>#DIV/0!</v>
      </c>
      <c r="AA7">
        <v>0.17655584597004101</v>
      </c>
      <c r="AB7">
        <v>8.81862229560893E-2</v>
      </c>
      <c r="AC7">
        <v>8.7274446637421996E-2</v>
      </c>
      <c r="AD7">
        <v>0.14193273029735801</v>
      </c>
      <c r="AE7">
        <v>0.155763774613317</v>
      </c>
      <c r="AF7" s="9">
        <f>AVERAGE(AA7:AE7)</f>
        <v>0.12994260409484545</v>
      </c>
      <c r="AG7" s="9">
        <f>MAX(AA7:AF7)</f>
        <v>0.17655584597004101</v>
      </c>
    </row>
    <row r="10" spans="1:33" x14ac:dyDescent="0.35">
      <c r="A10" t="s">
        <v>146</v>
      </c>
    </row>
    <row r="11" spans="1:33" x14ac:dyDescent="0.35">
      <c r="A11" t="s">
        <v>166</v>
      </c>
      <c r="B11" t="s">
        <v>91</v>
      </c>
      <c r="C11" t="s">
        <v>92</v>
      </c>
      <c r="D11" t="s">
        <v>87</v>
      </c>
      <c r="E11" t="s">
        <v>120</v>
      </c>
      <c r="F11" t="s">
        <v>100</v>
      </c>
      <c r="G11" t="s">
        <v>67</v>
      </c>
      <c r="H11" t="s">
        <v>104</v>
      </c>
    </row>
    <row r="12" spans="1:33" x14ac:dyDescent="0.35">
      <c r="A12" t="s">
        <v>1</v>
      </c>
      <c r="B12">
        <v>-8.9028248162195695E-3</v>
      </c>
      <c r="C12">
        <v>-0.41056572897266203</v>
      </c>
      <c r="D12">
        <v>-1.44830322355054</v>
      </c>
      <c r="E12">
        <v>0.35176905216077198</v>
      </c>
      <c r="F12">
        <v>0.50789620159719595</v>
      </c>
      <c r="G12">
        <v>2.8857324387672599E-2</v>
      </c>
    </row>
    <row r="13" spans="1:33" x14ac:dyDescent="0.35">
      <c r="A13" t="s">
        <v>8</v>
      </c>
      <c r="B13" s="3">
        <v>1.0261663871884801E-3</v>
      </c>
      <c r="C13">
        <v>-0.76077980566654302</v>
      </c>
      <c r="D13">
        <v>0.52074214223521098</v>
      </c>
      <c r="E13">
        <v>0.535475672762594</v>
      </c>
    </row>
    <row r="14" spans="1:33" x14ac:dyDescent="0.35">
      <c r="A14" t="s">
        <v>103</v>
      </c>
    </row>
    <row r="15" spans="1:33" x14ac:dyDescent="0.35">
      <c r="A15" t="s">
        <v>87</v>
      </c>
    </row>
    <row r="16" spans="1:33" x14ac:dyDescent="0.35">
      <c r="A16" t="s">
        <v>103</v>
      </c>
    </row>
    <row r="17" spans="1:12" x14ac:dyDescent="0.35">
      <c r="A17" t="s">
        <v>87</v>
      </c>
    </row>
    <row r="19" spans="1:12" x14ac:dyDescent="0.35">
      <c r="A19" t="s">
        <v>150</v>
      </c>
    </row>
    <row r="20" spans="1:12" x14ac:dyDescent="0.35">
      <c r="A20" t="s">
        <v>167</v>
      </c>
      <c r="B20" t="s">
        <v>91</v>
      </c>
      <c r="C20" t="s">
        <v>92</v>
      </c>
      <c r="D20" t="s">
        <v>87</v>
      </c>
      <c r="E20" t="s">
        <v>101</v>
      </c>
      <c r="F20" t="s">
        <v>120</v>
      </c>
      <c r="G20" t="s">
        <v>176</v>
      </c>
      <c r="H20" t="s">
        <v>100</v>
      </c>
      <c r="I20" t="s">
        <v>67</v>
      </c>
      <c r="J20" t="s">
        <v>18</v>
      </c>
    </row>
    <row r="21" spans="1:12" x14ac:dyDescent="0.35">
      <c r="A21" t="s">
        <v>1</v>
      </c>
      <c r="B21">
        <v>-1.6248943376292801E-2</v>
      </c>
      <c r="C21">
        <v>-1.3011652916219401</v>
      </c>
      <c r="D21">
        <v>-13.215313775983001</v>
      </c>
      <c r="E21">
        <v>-7.1760857825615698</v>
      </c>
      <c r="F21">
        <v>0.93985986964442902</v>
      </c>
      <c r="G21">
        <v>0.82396485082091697</v>
      </c>
      <c r="H21">
        <v>0.43779367539928998</v>
      </c>
      <c r="I21">
        <v>1.7000000000000001E-2</v>
      </c>
    </row>
    <row r="22" spans="1:12" x14ac:dyDescent="0.35">
      <c r="A22" t="s">
        <v>8</v>
      </c>
      <c r="B22" s="3">
        <v>2.9301076673254E-4</v>
      </c>
      <c r="C22">
        <v>-1.0119176576567599</v>
      </c>
      <c r="D22">
        <v>-2.9913861277034002</v>
      </c>
      <c r="F22">
        <v>0.60518356357517</v>
      </c>
      <c r="G22">
        <v>0.58185101045482701</v>
      </c>
      <c r="K22" t="s">
        <v>173</v>
      </c>
    </row>
    <row r="23" spans="1:12" x14ac:dyDescent="0.35">
      <c r="A23" t="s">
        <v>103</v>
      </c>
      <c r="B23">
        <v>4.2101628498088899E-2</v>
      </c>
      <c r="C23">
        <v>-1.40772602144863</v>
      </c>
      <c r="D23">
        <v>11.030831328258</v>
      </c>
      <c r="F23">
        <v>0.61229685812720203</v>
      </c>
      <c r="G23">
        <v>0.80523397527696905</v>
      </c>
      <c r="I23">
        <v>8.7999999999999995E-2</v>
      </c>
      <c r="J23" t="s">
        <v>171</v>
      </c>
      <c r="K23" t="s">
        <v>172</v>
      </c>
      <c r="L23">
        <v>0.13364460306972101</v>
      </c>
    </row>
    <row r="24" spans="1:12" x14ac:dyDescent="0.35">
      <c r="A24" t="s">
        <v>87</v>
      </c>
    </row>
    <row r="25" spans="1:12" x14ac:dyDescent="0.35">
      <c r="A25" t="s">
        <v>103</v>
      </c>
    </row>
    <row r="26" spans="1:12" x14ac:dyDescent="0.35">
      <c r="A26" t="s">
        <v>87</v>
      </c>
    </row>
    <row r="28" spans="1:12" x14ac:dyDescent="0.35">
      <c r="A28" t="s">
        <v>108</v>
      </c>
      <c r="B28" t="s">
        <v>107</v>
      </c>
      <c r="C28" t="s">
        <v>101</v>
      </c>
      <c r="D28" t="s">
        <v>109</v>
      </c>
      <c r="E28" t="s">
        <v>67</v>
      </c>
      <c r="F28" t="s">
        <v>110</v>
      </c>
      <c r="G28" t="s">
        <v>111</v>
      </c>
      <c r="H28" t="s">
        <v>147</v>
      </c>
      <c r="I28" t="s">
        <v>40</v>
      </c>
      <c r="J28" t="s">
        <v>148</v>
      </c>
    </row>
    <row r="29" spans="1:12" x14ac:dyDescent="0.35">
      <c r="A29">
        <v>5</v>
      </c>
      <c r="B29">
        <f>(2*15+(Table9[[#This Row],[Substance]]-2)*14)*0.001</f>
        <v>7.2000000000000008E-2</v>
      </c>
      <c r="C29">
        <v>-0.86754543415542507</v>
      </c>
      <c r="D29">
        <f>(F29+G29/Table9[[#This Row],[Mw]])^(-1)</f>
        <v>-0.84947899731667464</v>
      </c>
      <c r="E29">
        <v>6.9040003645532604E-4</v>
      </c>
      <c r="F29">
        <v>8.0625695255431302E-3</v>
      </c>
      <c r="G29">
        <v>-8.53383391929501E-2</v>
      </c>
      <c r="H29">
        <f>$F$2*Table9[[#This Row],[Substance]]</f>
        <v>-0.84657749999999998</v>
      </c>
      <c r="I29">
        <f>ABS((Table9[[#This Row],[D]]-Table9[[#This Row],[Predict]])/Table9[[#This Row],[D]])</f>
        <v>2.0824773121350702E-2</v>
      </c>
      <c r="J29">
        <f>ABS((Table9[[#This Row],[D]]-Table9[[#This Row],[From constant D]])/Table9[[#This Row],[D]])</f>
        <v>2.4169263452856318E-2</v>
      </c>
    </row>
    <row r="30" spans="1:12" x14ac:dyDescent="0.35">
      <c r="A30">
        <v>6</v>
      </c>
      <c r="B30">
        <f>(2*15+(Table9[[#This Row],[Substance]]-2)*14)*0.001</f>
        <v>8.6000000000000007E-2</v>
      </c>
      <c r="C30">
        <v>-1.009350824601186</v>
      </c>
      <c r="D30">
        <f>(F30+G30/Table9[[#This Row],[Mw]])^(-1)</f>
        <v>-1.016008535119419</v>
      </c>
      <c r="E30">
        <v>3.7830321347526099E-4</v>
      </c>
      <c r="F30">
        <v>8.0625695255431302E-3</v>
      </c>
      <c r="G30">
        <v>-8.53383391929501E-2</v>
      </c>
      <c r="H30">
        <f>$F$2*Table9[[#This Row],[Substance]]</f>
        <v>-1.0158930000000002</v>
      </c>
      <c r="I30">
        <f>ABS((Table9[[#This Row],[D]]-Table9[[#This Row],[Predict]])/Table9[[#This Row],[D]])</f>
        <v>6.5960321782702674E-3</v>
      </c>
      <c r="J30">
        <f>ABS((Table9[[#This Row],[D]]-Table9[[#This Row],[From constant D]])/Table9[[#This Row],[D]])</f>
        <v>6.4815673989260646E-3</v>
      </c>
    </row>
    <row r="31" spans="1:12" x14ac:dyDescent="0.35">
      <c r="A31">
        <v>8</v>
      </c>
      <c r="B31">
        <f>(2*15+(Table9[[#This Row],[Substance]]-2)*14)*0.001</f>
        <v>0.114</v>
      </c>
      <c r="C31">
        <v>-1.3247009846098481</v>
      </c>
      <c r="D31">
        <f>(F31+G31/Table9[[#This Row],[Mw]])^(-1)</f>
        <v>-1.3504035993822388</v>
      </c>
      <c r="E31">
        <v>1.7976213202370601E-3</v>
      </c>
      <c r="F31">
        <v>8.0625695255431302E-3</v>
      </c>
      <c r="G31">
        <v>-8.53383391929501E-2</v>
      </c>
      <c r="H31">
        <f>$F$2*Table9[[#This Row],[Substance]]</f>
        <v>-1.3545240000000001</v>
      </c>
      <c r="I31">
        <f>ABS((Table9[[#This Row],[D]]-Table9[[#This Row],[Predict]])/Table9[[#This Row],[D]])</f>
        <v>1.9402578446758394E-2</v>
      </c>
      <c r="J31">
        <f>ABS((Table9[[#This Row],[D]]-Table9[[#This Row],[From constant D]])/Table9[[#This Row],[D]])</f>
        <v>2.2513016700848508E-2</v>
      </c>
    </row>
    <row r="32" spans="1:12" x14ac:dyDescent="0.35">
      <c r="A32">
        <v>10</v>
      </c>
      <c r="B32">
        <f>(2*15+(Table9[[#This Row],[Substance]]-2)*14)*0.001</f>
        <v>0.14200000000000002</v>
      </c>
      <c r="C32">
        <v>-1.7097086984341801</v>
      </c>
      <c r="D32">
        <f>(F32+G32/Table9[[#This Row],[Mw]])^(-1)</f>
        <v>-1.686591922689689</v>
      </c>
      <c r="E32">
        <v>1.0336841704908499E-3</v>
      </c>
      <c r="F32">
        <v>8.0625695255431302E-3</v>
      </c>
      <c r="G32">
        <v>-8.53383391929501E-2</v>
      </c>
      <c r="H32">
        <f>$F$2*Table9[[#This Row],[Substance]]</f>
        <v>-1.693155</v>
      </c>
      <c r="I32">
        <f>ABS((Table9[[#This Row],[D]]-Table9[[#This Row],[Predict]])/Table9[[#This Row],[D]])</f>
        <v>1.3520885613825487E-2</v>
      </c>
      <c r="J32">
        <f>ABS((Table9[[#This Row],[D]]-Table9[[#This Row],[From constant D]])/Table9[[#This Row],[D]])</f>
        <v>9.6821747759373439E-3</v>
      </c>
    </row>
    <row r="33" spans="1:10" x14ac:dyDescent="0.35">
      <c r="A33">
        <v>12</v>
      </c>
      <c r="B33">
        <f>(2*15+(Table9[[#This Row],[Substance]]-2)*14)*0.001</f>
        <v>0.17</v>
      </c>
      <c r="C33">
        <v>-2.0660506904925002</v>
      </c>
      <c r="D33">
        <f>(F33+G33/Table9[[#This Row],[Mw]])^(-1)</f>
        <v>-2.0245879688787745</v>
      </c>
      <c r="E33">
        <v>1.3344337846373901E-3</v>
      </c>
      <c r="F33">
        <v>8.0625695255431302E-3</v>
      </c>
      <c r="G33">
        <v>-8.53383391929501E-2</v>
      </c>
      <c r="H33">
        <f>$F$2*Table9[[#This Row],[Substance]]</f>
        <v>-2.0317860000000003</v>
      </c>
      <c r="I33">
        <f>ABS((Table9[[#This Row],[D]]-Table9[[#This Row],[Predict]])/Table9[[#This Row],[D]])</f>
        <v>2.0068588735275408E-2</v>
      </c>
      <c r="J33">
        <f>ABS((Table9[[#This Row],[D]]-Table9[[#This Row],[From constant D]])/Table9[[#This Row],[D]])</f>
        <v>1.6584632047112059E-2</v>
      </c>
    </row>
    <row r="34" spans="1:10" x14ac:dyDescent="0.35">
      <c r="A34">
        <v>13</v>
      </c>
      <c r="B34">
        <f>(2*15+(Table9[[#This Row],[Substance]]-2)*14)*0.001</f>
        <v>0.184</v>
      </c>
      <c r="C34">
        <v>-2.2232979594915832</v>
      </c>
      <c r="D34">
        <f>(F34+G34/Table9[[#This Row],[Mw]])^(-1)</f>
        <v>-2.1942684505927383</v>
      </c>
      <c r="E34">
        <v>3.7904329811966901E-3</v>
      </c>
      <c r="F34">
        <v>8.0625695255431302E-3</v>
      </c>
      <c r="G34">
        <v>-8.53383391929501E-2</v>
      </c>
      <c r="H34">
        <f>$F$2*Table9[[#This Row],[Substance]]</f>
        <v>-2.2011015</v>
      </c>
      <c r="I34">
        <f>ABS((Table9[[#This Row],[D]]-Table9[[#This Row],[Predict]])/Table9[[#This Row],[D]])</f>
        <v>1.305695836894628E-2</v>
      </c>
      <c r="J34">
        <f>ABS((Table9[[#This Row],[D]]-Table9[[#This Row],[From constant D]])/Table9[[#This Row],[D]])</f>
        <v>9.9835739050734007E-3</v>
      </c>
    </row>
    <row r="35" spans="1:10" x14ac:dyDescent="0.35">
      <c r="A35">
        <v>15</v>
      </c>
      <c r="B35">
        <f>(2*15+(Table9[[#This Row],[Substance]]-2)*14)*0.001</f>
        <v>0.21199999999999999</v>
      </c>
      <c r="C35">
        <v>-2.5068942099484346</v>
      </c>
      <c r="D35">
        <f>(F35+G35/Table9[[#This Row],[Mw]])^(-1)</f>
        <v>-2.5350035425513293</v>
      </c>
      <c r="E35">
        <v>7.3426442815212496E-3</v>
      </c>
      <c r="F35">
        <v>8.0625695255431302E-3</v>
      </c>
      <c r="G35">
        <v>-8.53383391929501E-2</v>
      </c>
      <c r="H35">
        <f>$F$2*Table9[[#This Row],[Substance]]</f>
        <v>-2.5397324999999999</v>
      </c>
      <c r="I35">
        <f>ABS((Table9[[#This Row],[D]]-Table9[[#This Row],[Predict]])/Table9[[#This Row],[D]])</f>
        <v>1.1212811650106652E-2</v>
      </c>
      <c r="J35">
        <f>ABS((Table9[[#This Row],[D]]-Table9[[#This Row],[From constant D]])/Table9[[#This Row],[D]])</f>
        <v>1.3099192587086002E-2</v>
      </c>
    </row>
    <row r="36" spans="1:10" x14ac:dyDescent="0.35">
      <c r="A36">
        <v>16</v>
      </c>
      <c r="B36">
        <f>(2*15+(Table9[[#This Row],[Substance]]-2)*14)*0.001</f>
        <v>0.22600000000000001</v>
      </c>
      <c r="C36">
        <v>-2.7300289531972481</v>
      </c>
      <c r="D36">
        <f>(F36+G36/Table9[[#This Row],[Mw]])^(-1)</f>
        <v>-2.7060618671914445</v>
      </c>
      <c r="E36">
        <v>1.18371847305523E-2</v>
      </c>
      <c r="F36">
        <v>8.0625695255431302E-3</v>
      </c>
      <c r="G36">
        <v>-8.53383391929501E-2</v>
      </c>
      <c r="H36">
        <f>$F$2*Table9[[#This Row],[Substance]]</f>
        <v>-2.7090480000000001</v>
      </c>
      <c r="I36">
        <f>ABS((Table9[[#This Row],[D]]-Table9[[#This Row],[Predict]])/Table9[[#This Row],[D]])</f>
        <v>8.779059276179042E-3</v>
      </c>
      <c r="J36">
        <f>ABS((Table9[[#This Row],[D]]-Table9[[#This Row],[From constant D]])/Table9[[#This Row],[D]])</f>
        <v>7.6852493350579197E-3</v>
      </c>
    </row>
    <row r="37" spans="1:10" x14ac:dyDescent="0.35">
      <c r="I37">
        <f>AVERAGE(Table9[AAD])</f>
        <v>1.4182710923839031E-2</v>
      </c>
      <c r="J37">
        <f>AVERAGE(Table9[AAD constant])</f>
        <v>1.37748337753622E-2</v>
      </c>
    </row>
    <row r="40" spans="1:10" x14ac:dyDescent="0.35">
      <c r="A40" t="s">
        <v>47</v>
      </c>
      <c r="B40" t="s">
        <v>91</v>
      </c>
      <c r="C40" t="s">
        <v>92</v>
      </c>
      <c r="D40" t="s">
        <v>87</v>
      </c>
      <c r="E40" t="s">
        <v>100</v>
      </c>
      <c r="F40" t="s">
        <v>110</v>
      </c>
      <c r="G40" t="s">
        <v>111</v>
      </c>
      <c r="H40" t="s">
        <v>67</v>
      </c>
      <c r="I40" t="s">
        <v>104</v>
      </c>
    </row>
    <row r="41" spans="1:10" x14ac:dyDescent="0.35">
      <c r="A41" t="s">
        <v>1</v>
      </c>
      <c r="B41">
        <v>-1.6103144324676799E-2</v>
      </c>
      <c r="C41">
        <v>-0.309177310554963</v>
      </c>
      <c r="D41">
        <v>-1.09429475061423</v>
      </c>
      <c r="E41">
        <v>0.428576124526383</v>
      </c>
      <c r="F41">
        <v>-6.2456859163506601E-2</v>
      </c>
      <c r="G41">
        <v>-7.6236888768580105E-2</v>
      </c>
      <c r="H41">
        <v>3.0785142927968301E-2</v>
      </c>
    </row>
    <row r="42" spans="1:10" x14ac:dyDescent="0.35">
      <c r="A42" t="s">
        <v>8</v>
      </c>
      <c r="B42" s="3">
        <v>2.97636086872351E-4</v>
      </c>
      <c r="C42">
        <v>-0.27859493341137997</v>
      </c>
      <c r="D42">
        <v>-0.169282772982636</v>
      </c>
    </row>
    <row r="43" spans="1:10" x14ac:dyDescent="0.35">
      <c r="A43" t="s">
        <v>103</v>
      </c>
      <c r="H43">
        <v>8.2466795331835305E-2</v>
      </c>
      <c r="I43" t="s">
        <v>105</v>
      </c>
    </row>
    <row r="44" spans="1:10" x14ac:dyDescent="0.35">
      <c r="A44" t="s">
        <v>87</v>
      </c>
      <c r="H44">
        <v>3.5400000000000001E-2</v>
      </c>
    </row>
    <row r="45" spans="1:10" x14ac:dyDescent="0.35">
      <c r="A45" t="s">
        <v>103</v>
      </c>
      <c r="H45">
        <v>0.1178</v>
      </c>
      <c r="I45" t="s">
        <v>106</v>
      </c>
    </row>
    <row r="46" spans="1:10" x14ac:dyDescent="0.35">
      <c r="A46" t="s">
        <v>87</v>
      </c>
      <c r="H46">
        <v>0.1178</v>
      </c>
    </row>
    <row r="48" spans="1:10" x14ac:dyDescent="0.35">
      <c r="B48" t="s">
        <v>112</v>
      </c>
    </row>
    <row r="49" spans="1:2" x14ac:dyDescent="0.35">
      <c r="B49" t="s">
        <v>149</v>
      </c>
    </row>
    <row r="50" spans="1:2" x14ac:dyDescent="0.35">
      <c r="A50" t="s">
        <v>67</v>
      </c>
      <c r="B50">
        <v>1.70397822193642E-2</v>
      </c>
    </row>
  </sheetData>
  <phoneticPr fontId="1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AD41-A425-4EAC-AD0C-C227B2ECDB4F}">
  <dimension ref="A1:AI16"/>
  <sheetViews>
    <sheetView topLeftCell="L1" zoomScale="77" workbookViewId="0">
      <selection activeCell="AC2" sqref="AC2:AG2"/>
    </sheetView>
  </sheetViews>
  <sheetFormatPr defaultRowHeight="14.5" x14ac:dyDescent="0.35"/>
  <cols>
    <col min="11" max="11" width="14.81640625" customWidth="1"/>
  </cols>
  <sheetData>
    <row r="1" spans="1:35" x14ac:dyDescent="0.35">
      <c r="A1" t="s">
        <v>18</v>
      </c>
      <c r="B1" t="s">
        <v>129</v>
      </c>
      <c r="K1" t="s">
        <v>133</v>
      </c>
      <c r="O1" t="s">
        <v>137</v>
      </c>
    </row>
    <row r="2" spans="1:35" x14ac:dyDescent="0.35">
      <c r="B2" t="s">
        <v>1</v>
      </c>
      <c r="C2" t="s">
        <v>8</v>
      </c>
      <c r="D2" t="s">
        <v>103</v>
      </c>
      <c r="E2" t="s">
        <v>87</v>
      </c>
      <c r="F2" t="s">
        <v>130</v>
      </c>
      <c r="G2" t="s">
        <v>131</v>
      </c>
      <c r="H2" t="s">
        <v>132</v>
      </c>
      <c r="I2" t="s">
        <v>141</v>
      </c>
      <c r="J2" t="s">
        <v>30</v>
      </c>
      <c r="K2" t="s">
        <v>31</v>
      </c>
      <c r="L2" t="s">
        <v>32</v>
      </c>
      <c r="M2" t="s">
        <v>67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  <c r="Y2">
        <v>14</v>
      </c>
      <c r="Z2">
        <v>15</v>
      </c>
      <c r="AA2">
        <v>16</v>
      </c>
      <c r="AB2">
        <v>17</v>
      </c>
      <c r="AC2" s="5" t="s">
        <v>122</v>
      </c>
      <c r="AD2" t="s">
        <v>138</v>
      </c>
      <c r="AE2" t="s">
        <v>124</v>
      </c>
      <c r="AF2" t="s">
        <v>125</v>
      </c>
      <c r="AG2" t="s">
        <v>127</v>
      </c>
      <c r="AH2" t="s">
        <v>50</v>
      </c>
      <c r="AI2" t="s">
        <v>71</v>
      </c>
    </row>
    <row r="3" spans="1:35" x14ac:dyDescent="0.35">
      <c r="A3" t="s">
        <v>142</v>
      </c>
      <c r="B3" s="5">
        <v>0.54191473748583496</v>
      </c>
      <c r="C3" s="5">
        <v>3.4131537085276199E-2</v>
      </c>
      <c r="D3" s="5">
        <v>-0.46362105486704902</v>
      </c>
      <c r="E3" s="5"/>
      <c r="F3" s="5">
        <v>1.5839664610317701</v>
      </c>
      <c r="G3" s="5">
        <v>1.2250080824204399</v>
      </c>
      <c r="H3" s="5">
        <v>0.87060550620377497</v>
      </c>
      <c r="I3" s="5"/>
      <c r="J3" s="5" t="s">
        <v>134</v>
      </c>
      <c r="M3">
        <v>0.2</v>
      </c>
      <c r="O3">
        <v>0.20274599619829001</v>
      </c>
      <c r="P3">
        <v>7.2204835458629796E-2</v>
      </c>
      <c r="Q3">
        <v>0.12814193725631501</v>
      </c>
      <c r="R3">
        <v>0.139207365019895</v>
      </c>
      <c r="S3">
        <v>7.7944865252725107E-2</v>
      </c>
      <c r="T3">
        <v>8.2715448738158198E-2</v>
      </c>
      <c r="U3">
        <v>4.8969867516366401E-2</v>
      </c>
      <c r="V3">
        <v>4.1941303215978297E-2</v>
      </c>
      <c r="W3">
        <v>4.8006650036165499E-2</v>
      </c>
      <c r="X3">
        <v>4.7949805263925803E-2</v>
      </c>
      <c r="Y3">
        <v>4.1290136685105797E-2</v>
      </c>
      <c r="Z3">
        <v>4.1449463837970303E-2</v>
      </c>
      <c r="AA3">
        <v>5.0069530478261001E-2</v>
      </c>
      <c r="AB3">
        <v>1.55914405589251E-2</v>
      </c>
      <c r="AC3">
        <v>0.34324332959700099</v>
      </c>
      <c r="AD3">
        <v>5.1546258006347198E-2</v>
      </c>
      <c r="AE3">
        <v>2.0230454893311101E-2</v>
      </c>
      <c r="AF3">
        <v>8.9951938710431001E-2</v>
      </c>
      <c r="AG3">
        <v>0.139036083320837</v>
      </c>
      <c r="AH3">
        <f>AVERAGE(O3:AG3)</f>
        <v>8.8538774212875718E-2</v>
      </c>
      <c r="AI3">
        <f>MAX(O3:AG3)</f>
        <v>0.34324332959700099</v>
      </c>
    </row>
    <row r="4" spans="1:35" x14ac:dyDescent="0.35">
      <c r="A4" t="s">
        <v>143</v>
      </c>
      <c r="B4">
        <v>0.115295862451243</v>
      </c>
      <c r="C4">
        <v>4.2027237740239701E-3</v>
      </c>
      <c r="D4">
        <v>-0.102005127239661</v>
      </c>
      <c r="E4">
        <v>-0.225872538017069</v>
      </c>
      <c r="F4">
        <v>0.66728175682118795</v>
      </c>
      <c r="G4">
        <v>0.67900584507288897</v>
      </c>
      <c r="H4">
        <v>0.83731459209116099</v>
      </c>
      <c r="I4">
        <v>0.58351123952968398</v>
      </c>
      <c r="J4">
        <v>-0.11184093413014599</v>
      </c>
      <c r="K4">
        <v>0.36504487679673597</v>
      </c>
      <c r="L4">
        <v>-8.5505541981154495E-2</v>
      </c>
      <c r="M4">
        <v>0.12116845124065</v>
      </c>
    </row>
    <row r="8" spans="1:35" x14ac:dyDescent="0.35">
      <c r="A8" t="s">
        <v>139</v>
      </c>
      <c r="B8">
        <v>0.60676895694566602</v>
      </c>
      <c r="C8">
        <v>6.47119131236987E-2</v>
      </c>
      <c r="D8" s="6">
        <v>1.2217854617291399</v>
      </c>
      <c r="E8" s="6"/>
      <c r="F8" s="6">
        <v>1.3287119816677699</v>
      </c>
      <c r="G8" s="6">
        <v>3.7381831539582602</v>
      </c>
      <c r="H8" s="6">
        <v>-3.2063341251699402</v>
      </c>
      <c r="I8" s="6"/>
      <c r="J8" s="6">
        <v>1.0682318039518699</v>
      </c>
    </row>
    <row r="14" spans="1:35" x14ac:dyDescent="0.35">
      <c r="B14" t="s">
        <v>144</v>
      </c>
    </row>
    <row r="15" spans="1:35" x14ac:dyDescent="0.35">
      <c r="B15" s="7" t="s">
        <v>1</v>
      </c>
      <c r="C15" s="7"/>
      <c r="D15" s="7"/>
      <c r="E15" s="7" t="s">
        <v>8</v>
      </c>
      <c r="F15" s="7"/>
      <c r="G15" s="7"/>
      <c r="H15" t="s">
        <v>130</v>
      </c>
      <c r="I15" t="s">
        <v>131</v>
      </c>
      <c r="J15" t="s">
        <v>145</v>
      </c>
      <c r="K15" t="s">
        <v>101</v>
      </c>
      <c r="L15" t="s">
        <v>67</v>
      </c>
    </row>
    <row r="16" spans="1:35" x14ac:dyDescent="0.35">
      <c r="B16">
        <v>-3.8544326052060698E-3</v>
      </c>
      <c r="C16">
        <v>-0.39601505871195197</v>
      </c>
      <c r="D16">
        <v>-1.9999999345874799</v>
      </c>
      <c r="E16">
        <v>-5.4484709144103204E-4</v>
      </c>
      <c r="F16">
        <v>-0.934152633839613</v>
      </c>
      <c r="G16">
        <v>5.5944570848769998E-2</v>
      </c>
      <c r="H16">
        <v>1.1000000017679401</v>
      </c>
      <c r="I16">
        <v>1.10000000025345</v>
      </c>
      <c r="J16">
        <v>0.34334603951204501</v>
      </c>
      <c r="K16">
        <v>-1.00007737596824E-2</v>
      </c>
      <c r="L16">
        <v>4.3493882455032599E-2</v>
      </c>
    </row>
  </sheetData>
  <mergeCells count="2">
    <mergeCell ref="B15:D15"/>
    <mergeCell ref="E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Lotgering</vt:lpstr>
      <vt:lpstr>Sheet2</vt:lpstr>
      <vt:lpstr>Tau</vt:lpstr>
      <vt:lpstr>BellLot</vt:lpstr>
      <vt:lpstr>Branched Alkanes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Eric S</dc:creator>
  <cp:lastModifiedBy>Huang, Eric S</cp:lastModifiedBy>
  <dcterms:created xsi:type="dcterms:W3CDTF">2025-10-15T12:49:38Z</dcterms:created>
  <dcterms:modified xsi:type="dcterms:W3CDTF">2025-11-09T14:27:16Z</dcterms:modified>
</cp:coreProperties>
</file>