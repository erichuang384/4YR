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h\OneDrive\Documents\Y4\4YR\"/>
    </mc:Choice>
  </mc:AlternateContent>
  <xr:revisionPtr revIDLastSave="0" documentId="8_{ED36C57C-5DCF-481B-874C-0CFFA4278651}" xr6:coauthVersionLast="47" xr6:coauthVersionMax="47" xr10:uidLastSave="{00000000-0000-0000-0000-000000000000}"/>
  <bookViews>
    <workbookView xWindow="-110" yWindow="-110" windowWidth="19420" windowHeight="10420" firstSheet="2" activeTab="8" xr2:uid="{88A93044-632C-4EB3-AA7B-B27E1E261106}"/>
  </bookViews>
  <sheets>
    <sheet name="Sheet1" sheetId="1" r:id="rId1"/>
    <sheet name="Lotgering" sheetId="2" r:id="rId2"/>
    <sheet name="Sheet2" sheetId="3" r:id="rId3"/>
    <sheet name="Tau" sheetId="6" r:id="rId4"/>
    <sheet name="BellLot" sheetId="5" r:id="rId5"/>
    <sheet name="New Ref" sheetId="9" r:id="rId6"/>
    <sheet name="BI" sheetId="8" r:id="rId7"/>
    <sheet name="Branched Alkanes" sheetId="4" r:id="rId8"/>
    <sheet name="AAD results" sheetId="10" r:id="rId9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10" l="1"/>
  <c r="D43" i="10"/>
  <c r="E43" i="10"/>
  <c r="B43" i="10"/>
  <c r="E42" i="10"/>
  <c r="C42" i="10"/>
  <c r="D42" i="10"/>
  <c r="B42" i="10"/>
  <c r="E41" i="10"/>
  <c r="C41" i="10"/>
  <c r="D41" i="10"/>
  <c r="B41" i="10"/>
  <c r="E40" i="10"/>
  <c r="C40" i="10"/>
  <c r="D40" i="10"/>
  <c r="B40" i="10"/>
  <c r="C42" i="8"/>
  <c r="D42" i="8"/>
  <c r="E42" i="8"/>
  <c r="F42" i="8"/>
  <c r="G42" i="8"/>
  <c r="H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B42" i="8"/>
  <c r="C37" i="8"/>
  <c r="D37" i="8"/>
  <c r="E37" i="8"/>
  <c r="F37" i="8"/>
  <c r="G37" i="8"/>
  <c r="H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B37" i="8"/>
  <c r="C35" i="8"/>
  <c r="A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B35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B34" i="8"/>
  <c r="C25" i="8"/>
  <c r="D25" i="8"/>
  <c r="E25" i="8"/>
  <c r="F25" i="8"/>
  <c r="G25" i="8"/>
  <c r="H25" i="8"/>
  <c r="I25" i="8"/>
  <c r="J25" i="8"/>
  <c r="B25" i="8"/>
  <c r="J14" i="8"/>
  <c r="J17" i="8" s="1"/>
  <c r="J18" i="8" s="1"/>
  <c r="I14" i="8"/>
  <c r="I17" i="8" s="1"/>
  <c r="I18" i="8" s="1"/>
  <c r="H14" i="8"/>
  <c r="H17" i="8" s="1"/>
  <c r="H18" i="8" s="1"/>
  <c r="G14" i="8"/>
  <c r="G17" i="8" s="1"/>
  <c r="G18" i="8" s="1"/>
  <c r="F14" i="8"/>
  <c r="F17" i="8" s="1"/>
  <c r="F18" i="8" s="1"/>
  <c r="E14" i="8"/>
  <c r="E17" i="8" s="1"/>
  <c r="E18" i="8" s="1"/>
  <c r="D14" i="8"/>
  <c r="D17" i="8" s="1"/>
  <c r="D18" i="8" s="1"/>
  <c r="C14" i="8"/>
  <c r="C17" i="8" s="1"/>
  <c r="C18" i="8" s="1"/>
  <c r="B14" i="8"/>
  <c r="B17" i="8" s="1"/>
  <c r="B18" i="8" s="1"/>
  <c r="B9" i="8"/>
  <c r="B10" i="8" s="1"/>
  <c r="B11" i="8" s="1"/>
  <c r="C9" i="8"/>
  <c r="C10" i="8" s="1"/>
  <c r="C11" i="8" s="1"/>
  <c r="D9" i="8"/>
  <c r="D10" i="8" s="1"/>
  <c r="D11" i="8" s="1"/>
  <c r="E9" i="8"/>
  <c r="E10" i="8" s="1"/>
  <c r="E11" i="8" s="1"/>
  <c r="F9" i="8"/>
  <c r="F10" i="8" s="1"/>
  <c r="F11" i="8" s="1"/>
  <c r="G9" i="8"/>
  <c r="G10" i="8" s="1"/>
  <c r="G11" i="8" s="1"/>
  <c r="H9" i="8"/>
  <c r="H10" i="8" s="1"/>
  <c r="H11" i="8" s="1"/>
  <c r="I9" i="8"/>
  <c r="I10" i="8" s="1"/>
  <c r="I11" i="8" s="1"/>
  <c r="A9" i="8"/>
  <c r="A10" i="8" s="1"/>
  <c r="A11" i="8" s="1"/>
  <c r="B8" i="8"/>
  <c r="C8" i="8"/>
  <c r="D8" i="8"/>
  <c r="E8" i="8"/>
  <c r="F8" i="8"/>
  <c r="G8" i="8"/>
  <c r="H8" i="8"/>
  <c r="I8" i="8"/>
  <c r="A8" i="8"/>
  <c r="F2" i="8"/>
  <c r="H2" i="8" s="1"/>
  <c r="J2" i="8" s="1"/>
  <c r="L2" i="8" s="1"/>
  <c r="N2" i="8" s="1"/>
  <c r="E2" i="8"/>
  <c r="G2" i="8" s="1"/>
  <c r="I2" i="8" s="1"/>
  <c r="K2" i="8" s="1"/>
  <c r="M2" i="8" s="1"/>
  <c r="AF8" i="5"/>
  <c r="AG8" i="5" s="1"/>
  <c r="Y8" i="5"/>
  <c r="Z8" i="5" s="1"/>
  <c r="Y7" i="5"/>
  <c r="Z7" i="5" s="1"/>
  <c r="Q21" i="5"/>
  <c r="Q24" i="5" s="1"/>
  <c r="P21" i="5"/>
  <c r="P24" i="5" s="1"/>
  <c r="O21" i="5"/>
  <c r="O24" i="5" s="1"/>
  <c r="Q20" i="5"/>
  <c r="Q23" i="5" s="1"/>
  <c r="P20" i="5"/>
  <c r="P23" i="5" s="1"/>
  <c r="O20" i="5"/>
  <c r="O23" i="5" s="1"/>
  <c r="AF7" i="5"/>
  <c r="AG7" i="5" s="1"/>
  <c r="AF3" i="5"/>
  <c r="AG3" i="5" s="1"/>
  <c r="AF4" i="5"/>
  <c r="AG4" i="5" s="1"/>
  <c r="AF5" i="5"/>
  <c r="AG5" i="5" s="1"/>
  <c r="AF6" i="5"/>
  <c r="AG6" i="5" s="1"/>
  <c r="Y5" i="5"/>
  <c r="Z5" i="5" s="1"/>
  <c r="Y6" i="5"/>
  <c r="Z6" i="5" s="1"/>
  <c r="AI3" i="4"/>
  <c r="AH3" i="4"/>
  <c r="AI48" i="3"/>
  <c r="AJ48" i="3"/>
  <c r="Y4" i="5"/>
  <c r="Z4" i="5" s="1"/>
  <c r="AI43" i="3"/>
  <c r="AJ43" i="3"/>
  <c r="Y3" i="5"/>
  <c r="Z3" i="5" s="1"/>
  <c r="AI37" i="3"/>
  <c r="AJ37" i="3"/>
  <c r="AI35" i="3"/>
  <c r="AJ35" i="3"/>
  <c r="AI33" i="3"/>
  <c r="AJ33" i="3"/>
  <c r="J11" i="8" l="1"/>
  <c r="AJ24" i="3"/>
  <c r="AI25" i="3"/>
  <c r="AJ25" i="3"/>
  <c r="AI23" i="3"/>
  <c r="AJ23" i="3"/>
  <c r="G72" i="3"/>
  <c r="H70" i="3"/>
  <c r="H71" i="3"/>
  <c r="AI5" i="3"/>
  <c r="AI7" i="3"/>
  <c r="AI2" i="3"/>
  <c r="AJ3" i="3"/>
  <c r="AJ4" i="3"/>
  <c r="AJ5" i="3"/>
  <c r="AJ6" i="3"/>
  <c r="AJ7" i="3"/>
  <c r="AJ2" i="3"/>
  <c r="G2" i="3"/>
  <c r="D2" i="3"/>
  <c r="G21" i="1"/>
  <c r="K21" i="1" s="1"/>
  <c r="G22" i="1"/>
  <c r="K22" i="1" s="1"/>
  <c r="G23" i="1"/>
  <c r="K23" i="1" s="1"/>
  <c r="G24" i="1"/>
  <c r="K24" i="1" s="1"/>
  <c r="G25" i="1"/>
  <c r="K25" i="1" s="1"/>
  <c r="D12" i="1"/>
  <c r="D13" i="1"/>
  <c r="D14" i="1"/>
  <c r="F29" i="1"/>
  <c r="I29" i="1" s="1"/>
  <c r="F30" i="1"/>
  <c r="I30" i="1" s="1"/>
  <c r="F31" i="1"/>
  <c r="I31" i="1" s="1"/>
  <c r="F32" i="1"/>
  <c r="I32" i="1" s="1"/>
  <c r="F33" i="1"/>
  <c r="I33" i="1" s="1"/>
  <c r="E29" i="1"/>
  <c r="H29" i="1" s="1"/>
  <c r="G39" i="1"/>
  <c r="G38" i="1"/>
  <c r="G37" i="1"/>
  <c r="D53" i="1"/>
  <c r="E53" i="1"/>
  <c r="C53" i="1"/>
  <c r="D51" i="1"/>
  <c r="E51" i="1"/>
  <c r="G36" i="1"/>
  <c r="E31" i="1"/>
  <c r="H31" i="1" s="1"/>
  <c r="E30" i="1"/>
  <c r="H30" i="1" s="1"/>
  <c r="E32" i="1"/>
  <c r="H32" i="1" s="1"/>
  <c r="E33" i="1"/>
  <c r="H33" i="1" s="1"/>
  <c r="C51" i="1"/>
  <c r="D10" i="1"/>
  <c r="D11" i="1"/>
  <c r="E50" i="1"/>
  <c r="D50" i="1"/>
  <c r="C50" i="1"/>
  <c r="C49" i="1"/>
  <c r="D49" i="1"/>
  <c r="E49" i="1"/>
  <c r="D9" i="1"/>
  <c r="F22" i="1"/>
  <c r="J22" i="1" s="1"/>
  <c r="F23" i="1"/>
  <c r="J23" i="1" s="1"/>
  <c r="F24" i="1"/>
  <c r="J24" i="1" s="1"/>
  <c r="F25" i="1"/>
  <c r="J25" i="1" s="1"/>
  <c r="F21" i="1"/>
  <c r="J21" i="1" s="1"/>
  <c r="E22" i="1"/>
  <c r="I22" i="1" s="1"/>
  <c r="E23" i="1"/>
  <c r="I23" i="1" s="1"/>
  <c r="E24" i="1"/>
  <c r="I24" i="1" s="1"/>
  <c r="E25" i="1"/>
  <c r="I25" i="1" s="1"/>
  <c r="E21" i="1"/>
  <c r="I21" i="1" s="1"/>
  <c r="K26" i="1" l="1"/>
  <c r="G40" i="1"/>
  <c r="H35" i="1" s="1"/>
  <c r="I26" i="1"/>
  <c r="J26" i="1"/>
  <c r="H37" i="1" l="1"/>
  <c r="H38" i="1"/>
  <c r="H36" i="1"/>
  <c r="H39" i="1"/>
  <c r="H40" i="1" l="1"/>
</calcChain>
</file>

<file path=xl/sharedStrings.xml><?xml version="1.0" encoding="utf-8"?>
<sst xmlns="http://schemas.openxmlformats.org/spreadsheetml/2006/main" count="876" uniqueCount="412">
  <si>
    <t>Ethane</t>
  </si>
  <si>
    <t>CH3</t>
  </si>
  <si>
    <t>Fluids Trained on</t>
  </si>
  <si>
    <t>Groups Optimized</t>
  </si>
  <si>
    <t>Pure Fluid</t>
  </si>
  <si>
    <t>C8, C10, C12, C14, C16</t>
  </si>
  <si>
    <t>"CH3","CH2"</t>
  </si>
  <si>
    <t>Fluid</t>
  </si>
  <si>
    <t>CH2</t>
  </si>
  <si>
    <t>Pure</t>
  </si>
  <si>
    <t>Octane</t>
  </si>
  <si>
    <t>Decane</t>
  </si>
  <si>
    <t>Dodecane</t>
  </si>
  <si>
    <t>Tetradecane</t>
  </si>
  <si>
    <t>Hexadecane</t>
  </si>
  <si>
    <t>Difference</t>
  </si>
  <si>
    <t>N points</t>
  </si>
  <si>
    <t>N used</t>
  </si>
  <si>
    <t>Note</t>
  </si>
  <si>
    <t>Equally Weighted</t>
  </si>
  <si>
    <t>Added all errors, biased on higher data points</t>
  </si>
  <si>
    <t>GCM 1</t>
  </si>
  <si>
    <t>GCM 2</t>
  </si>
  <si>
    <t>0.476193*</t>
  </si>
  <si>
    <t>CH3 from pure Ethane</t>
  </si>
  <si>
    <t>Benzene</t>
  </si>
  <si>
    <t>aCH</t>
  </si>
  <si>
    <t>Value</t>
  </si>
  <si>
    <t>Value2</t>
  </si>
  <si>
    <t>Group</t>
  </si>
  <si>
    <t>n1</t>
  </si>
  <si>
    <t>n2</t>
  </si>
  <si>
    <t>n3</t>
  </si>
  <si>
    <t>Global</t>
  </si>
  <si>
    <t>aCH 3param</t>
  </si>
  <si>
    <t>AAD optimized</t>
  </si>
  <si>
    <t>MSE</t>
  </si>
  <si>
    <t>No group 2</t>
  </si>
  <si>
    <t>New global, MSE</t>
  </si>
  <si>
    <t>AAD squared</t>
  </si>
  <si>
    <t>AAD</t>
  </si>
  <si>
    <t>AAD train</t>
  </si>
  <si>
    <t>AAD 1bar</t>
  </si>
  <si>
    <t>Model</t>
  </si>
  <si>
    <t>4 param</t>
  </si>
  <si>
    <t>3 param</t>
  </si>
  <si>
    <t>No group 2,8</t>
  </si>
  <si>
    <t>Column1</t>
  </si>
  <si>
    <t>4 Param</t>
  </si>
  <si>
    <t>3 Param</t>
  </si>
  <si>
    <t>Mean</t>
  </si>
  <si>
    <t>Difference 2</t>
  </si>
  <si>
    <t>GCM 3</t>
  </si>
  <si>
    <t>Difference 3</t>
  </si>
  <si>
    <t>a</t>
  </si>
  <si>
    <t>b</t>
  </si>
  <si>
    <t>c</t>
  </si>
  <si>
    <t>Cyclopentane, Cyclohexane</t>
  </si>
  <si>
    <t>cCH2</t>
  </si>
  <si>
    <t>0.148908 for no T</t>
  </si>
  <si>
    <t>Cyclohexane</t>
  </si>
  <si>
    <t>Cyclopentane</t>
  </si>
  <si>
    <t>ng3</t>
  </si>
  <si>
    <t>exponent</t>
  </si>
  <si>
    <t>(1-ln(T))</t>
  </si>
  <si>
    <t>T CH3</t>
  </si>
  <si>
    <t>T CH2</t>
  </si>
  <si>
    <t>f</t>
  </si>
  <si>
    <t>1-T</t>
  </si>
  <si>
    <t>In VS</t>
  </si>
  <si>
    <t>IN JULIA</t>
  </si>
  <si>
    <t>Max</t>
  </si>
  <si>
    <t>Separate T</t>
  </si>
  <si>
    <t>VS</t>
  </si>
  <si>
    <t>1+c(T/TC)</t>
  </si>
  <si>
    <t>1-Xln(T)</t>
  </si>
  <si>
    <t>C in front</t>
  </si>
  <si>
    <t>C not 1</t>
  </si>
  <si>
    <t>Value Constant</t>
  </si>
  <si>
    <t>1/C</t>
  </si>
  <si>
    <t>[0.7967156548650978, -0.26998738623127144, 0.029674782148938414]</t>
  </si>
  <si>
    <t>[ 1.5, 2.1, 2.7]</t>
  </si>
  <si>
    <t>0.7081113071031407, -0.2506396131731235, 0.029855992324092917</t>
  </si>
  <si>
    <t>0.7478939661203835, -0.2649284354192793, 0.031123786073050424</t>
  </si>
  <si>
    <t>Hexane</t>
  </si>
  <si>
    <t xml:space="preserve"> 0.6413367923168263, -0.2205683628271185, 0.02612208898198096</t>
  </si>
  <si>
    <t>Butane</t>
  </si>
  <si>
    <t>C</t>
  </si>
  <si>
    <t>e1</t>
  </si>
  <si>
    <t>e2</t>
  </si>
  <si>
    <t>e3</t>
  </si>
  <si>
    <t>A</t>
  </si>
  <si>
    <t>B</t>
  </si>
  <si>
    <t>Equation</t>
  </si>
  <si>
    <t>AB^T, same exponents</t>
  </si>
  <si>
    <t>log(AB^T)+</t>
  </si>
  <si>
    <t>Original Equation</t>
  </si>
  <si>
    <t>TRY THIS WITH TEMP T</t>
  </si>
  <si>
    <t>n4</t>
  </si>
  <si>
    <t>C/xi +</t>
  </si>
  <si>
    <t>gamma</t>
  </si>
  <si>
    <t>D</t>
  </si>
  <si>
    <t>s_red = ((-s_res ./ R) ^ gamma) ./ log(T)</t>
  </si>
  <si>
    <t>CH</t>
  </si>
  <si>
    <t>Column2</t>
  </si>
  <si>
    <t>Train CH C separate, no squalane</t>
  </si>
  <si>
    <t>Train CH C together</t>
  </si>
  <si>
    <t>D_1</t>
  </si>
  <si>
    <t>D_2</t>
  </si>
  <si>
    <t>Tau</t>
  </si>
  <si>
    <t>2,6,10,14-tetramethylpentadecane</t>
  </si>
  <si>
    <t>Isopentane</t>
  </si>
  <si>
    <t>Isohexane</t>
  </si>
  <si>
    <t>Squalane</t>
  </si>
  <si>
    <t>Bell</t>
  </si>
  <si>
    <t>Tau CH3</t>
  </si>
  <si>
    <t>Tau CH2</t>
  </si>
  <si>
    <t>Tau CH1</t>
  </si>
  <si>
    <t>Not optimized</t>
  </si>
  <si>
    <t>2.544060456, -1.926681797,   0.592109738</t>
  </si>
  <si>
    <t>CH3 tau</t>
  </si>
  <si>
    <t>CH2 tau</t>
  </si>
  <si>
    <t>AADs</t>
  </si>
  <si>
    <t>IsoButane</t>
  </si>
  <si>
    <t>Optimized n-alkane first</t>
  </si>
  <si>
    <t>Bell same ref, mole frac tau</t>
  </si>
  <si>
    <t>Tau C</t>
  </si>
  <si>
    <t>Optimized all togther, tau on numerator. Didn't optimize n1n2n3.</t>
  </si>
  <si>
    <t>Optimized all togther, with all n-alkanes an branched, tau on s+</t>
  </si>
  <si>
    <t>Lotgering</t>
  </si>
  <si>
    <t>Gamma</t>
  </si>
  <si>
    <t>With no D, and molar averaged tau on lnT</t>
  </si>
  <si>
    <t>With D, and molar averaged tau on lnT</t>
  </si>
  <si>
    <t>Column3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</si>
  <si>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</si>
  <si>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</si>
  <si>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</si>
  <si>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</si>
  <si>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</si>
  <si>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</si>
  <si>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</si>
  <si>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</si>
  <si>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</si>
  <si>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</si>
  <si>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</si>
  <si>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</si>
  <si>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</si>
  <si>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Results</t>
  </si>
  <si>
    <t>model 1</t>
  </si>
  <si>
    <t>model 3</t>
  </si>
  <si>
    <t>model 4</t>
  </si>
  <si>
    <t>Model 4</t>
  </si>
  <si>
    <t>Model 1</t>
  </si>
  <si>
    <t>Model 3</t>
  </si>
  <si>
    <t>No squalane</t>
  </si>
  <si>
    <t>With squalane</t>
  </si>
  <si>
    <t>Mean Branched</t>
  </si>
  <si>
    <t>Max Branched</t>
  </si>
  <si>
    <t>Tau vdw, mean cross</t>
  </si>
  <si>
    <t xml:space="preserve">−CH3  </t>
  </si>
  <si>
    <t>−CH2</t>
  </si>
  <si>
    <t>Molar average</t>
  </si>
  <si>
    <t>x_sk vdw, mean cross</t>
  </si>
  <si>
    <t>molar vdw,sqrt cross</t>
  </si>
  <si>
    <t>molar vdw,sqrt cross, sqrt ^2 addition</t>
  </si>
  <si>
    <t>Column8</t>
  </si>
  <si>
    <t>-1.2079684228897345:0:8160680272863482</t>
  </si>
  <si>
    <t>0.24074570077425134:0:5526998339960865</t>
  </si>
  <si>
    <t>With D, and molar averaged tau on lnT, Sf for mgc</t>
  </si>
  <si>
    <t>0.03383232734060261 at [-0.006784383830928695, -2.047943505487953, -19.79009848304689, -0.000908006809867079, -3.6961780375265283, -2.4252862601850644, 2.071845714159289e-14, 8.516892018824229e-8, -12.204196646857207]</t>
  </si>
  <si>
    <t>For epislon</t>
  </si>
  <si>
    <t>[-0.016287973409974527, 1.2285186997226851, -10.794203637695668, -0.00023247454294741588, 0.8981886320563268, -1.8991532474188186, 1.1805538880449846, 1.2026777535720212, 12.502211147551783]</t>
  </si>
  <si>
    <t>Objective value = 0.02845038670764247</t>
  </si>
  <si>
    <t>[-0.015087401852988442, 1.1793288696973334, -10.799687755027858, -0.0006393202735293168, 0.9103543410756307, -1.9017722602334455, 1.1714896072382803, 1.1998390308112774, 12.536185542576174]</t>
  </si>
  <si>
    <t>Objective value = 0.02761817166709335</t>
  </si>
  <si>
    <t>0.03930050901260097, -1.5984961240693298, -10.093752915195292, 0.5604734970596769</t>
  </si>
  <si>
    <t>Reference</t>
  </si>
  <si>
    <t>z term</t>
  </si>
  <si>
    <t>(visc / visc_CE)</t>
  </si>
  <si>
    <t>Red</t>
  </si>
  <si>
    <t xml:space="preserve">log.(n_red[mask]) </t>
  </si>
  <si>
    <t>z_term = (-s_res ./ R)</t>
  </si>
  <si>
    <t>D = D_i * m_gc</t>
  </si>
  <si>
    <t>0.06380818177620687 at [-0.00031529514879393697, 0.28496582666188436, -0.001313413296697839, -0.004104039788554001, 0.08696649616604697, -0.00104366600378321, 0.7469476944764031, 3.7717153108546205e-5]</t>
  </si>
  <si>
    <t>z_term = (-s_res ./ R)./m_gc</t>
  </si>
  <si>
    <t>0.05392350883789363 at [-0.0116953315864751, 0.4223154028105611, -1.1486176828290624, -0.0016439802421435658, 0.3174580677512573, -0.22561637761145772, 0.45148295117527165, 0.184353816497909]</t>
  </si>
  <si>
    <t>z_term = (-s_res ./ R)./tot_sf</t>
  </si>
  <si>
    <t>D = D_i * tot_sf</t>
  </si>
  <si>
    <t>0.0551466246586332 at [-0.007756083678895053, 0.0962745523416408, -0.1040642175985287, -0.0031844801555231755, 0.04800656798193293, -0.02158166895103208, 0.3553156915681534, 0.01671107971585656]</t>
  </si>
  <si>
    <t>0.05599455947384924 at [-0.006157383246726961, 0.05476467486959664, -0.06727914432342685, -0.0036806562394442873, 0.02647668988211178, -0.029258407482388577, 0.25481876044973617, 0.004819357788752458]</t>
  </si>
  <si>
    <t>0.05514662466366361 at [-0.007756163768853685, 0.0962721281191173, -0.10406595812964715, -0.00318452417525184, 0.04800505991182935, -0.021582450650384385, 0.35530895498244747, 0.016711514381783234]</t>
  </si>
  <si>
    <t>mean aad</t>
  </si>
  <si>
    <t>(visc .- visc_CE) ./ ((ρ_N .^ (2/3)) .* sqrt.(m .* k_B .* T)) .* (s_red .^ (2/3))</t>
  </si>
  <si>
    <t xml:space="preserve">log.(n_red[mask] .+ 1.0) </t>
  </si>
  <si>
    <t xml:space="preserve"> 0.0341410410990224 at [-0.014154619843656728, 0.20473351106801793, -0.8935141022177401, -0.0007639200970682128, 0.22060858155225133, -0.257509661195109, 0.37212986385433583, 0.17566120252763942]</t>
  </si>
  <si>
    <t>0.03304905402112126 at [-0.010381291879155354, 0.05483950088524079, -0.0809731532131898, -0.0024337343697984387, 0.044262746950624, -0.027878484354149757, 0.30885453033745847, 0.017354243432663303]</t>
  </si>
  <si>
    <t>0.033062497401905186 at [-0.008759901818231587, 0.03445217747134038, -0.044054593533057775, -0.0030562882094183883, 0.031760311227778816, -0.037629793927504304, 0.24266732238799332, 0.005227992295142767]</t>
  </si>
  <si>
    <t>0.03500017733076166 at [-0.015296768053236248, 0.3358238256755944, -1.187372329184262, -0.00016217888498419573, 0.34488140215163293, -0.1399586151917396, 0.45825409969143227, 0.5319725049026268]</t>
  </si>
  <si>
    <t> z_term = (-s_res ./ s_id)./m_gc</t>
  </si>
  <si>
    <t>0.02061858828959134 at [-0.012657861337741664, 0.0976788039676084, -0.015508774801077234, -0.001509437717522063, 0.0731658000605048, -0.0029035163084620195, 0.40053216800822655, 0.014922645200610252]</t>
  </si>
  <si>
    <t>(C_CH3 .* num_CH3 .+ C_CH2 .* num_CH2) .* (1 .+ log.(T))</t>
  </si>
  <si>
    <t> z_term = (-s_res ./ s_id)./tot_sf</t>
  </si>
  <si>
    <t>0.018816420365032876 at [-0.011201519044440274, 0.05455747701575829, -0.010387746016789993, -0.0020733761429243907, 0.041278859543724934, -0.004369819922319668, 0.29776486431023386, 0.004612286325777618]</t>
  </si>
  <si>
    <t> z_term = (-s_res ./ s_id)./total_sf</t>
  </si>
  <si>
    <t>Test all mgc sf</t>
  </si>
  <si>
    <t>With branched</t>
  </si>
  <si>
    <t>0.18637404033944915 at [0.001467056191369161, 0.12475888053585917, 0.0015493524504153614]</t>
  </si>
  <si>
    <t>Branched</t>
  </si>
  <si>
    <t xml:space="preserve">(C_CH3 .* num_CH3 .+ C_CH2 .* num_CH2) </t>
  </si>
  <si>
    <t xml:space="preserve"> 0.03270415508565132 at [-0.2056813350040997, 0.06848692828046983, -0.04644550645262423, -1.9708513998583015, 0.10394241989335885, -0.03276649960956775, 0.43701217408084586, 0.004865137621831962]</t>
  </si>
  <si>
    <t>(C_CH3 .* num_CH3 .+ C_CH2 .* num_CH2)  .* (1 .+ log.(T))</t>
  </si>
  <si>
    <t>0.018030793142248584 at [-0.4979793240931289, 0.0009087254863069772, -0.010641338169932596, -1.8200872156649264, -8.403097536087528e-6, -0.004171601907364312, -0.6254821187264804, 0.0045866202472072334]</t>
  </si>
  <si>
    <t xml:space="preserve"> 0.019894553039066284 at [-0.6527648908291791, 0.0016165128425629817, -0.015373845109270907, -1.714991415889883, -7.828106226349211e-6, -0.0028295026461008115, -0.5208359886619774, 0.01485325354870957]</t>
  </si>
  <si>
    <t>Vdw A</t>
  </si>
  <si>
    <t>Vdw A and B</t>
  </si>
  <si>
    <t>0.032566468158500964 at [-0.20170666162506906, 0.08601737492040397, -0.045680061045825206, -1.96746926655357, 0.13931572165163933, -0.03267415081128497, -0.522164709256947, 0.004836543495247022]</t>
  </si>
  <si>
    <t>0.018037587506951374 at [-0.4876736420656569, 0.1020699669386721, -0.010640724281908492, -1.8299238565402325, 0.12045760469607916, -0.004190926935806616, -0.5374434825242685, 0.004600651971457891]</t>
  </si>
  <si>
    <t>GC D</t>
  </si>
  <si>
    <t>0.03259704350946078 at [-0.3705434517027021, 0.09598611195657972, -0.07636928853617689, -1.8815872518350534, 0.12441570879169062, -0.0261289661398424, 0.47322223835428046, 0.00022823501888244484, 0.00014862296800622683]</t>
  </si>
  <si>
    <t>(C_CH3 .* num_CH3 .+ C_CH2 .* num_CH2)</t>
  </si>
  <si>
    <t>vdw A</t>
  </si>
  <si>
    <t>0.016050606088634546 at [0.030364263171275406, 0.028940473789160336, 0.0034188117981025887, -2.093558624642209, 0.05979251202596751, -0.007383839241100041, 0.327961826393157, -0.00016567732995788014, 0.0002724895524158402]</t>
  </si>
  <si>
    <t>without s in reference</t>
  </si>
  <si>
    <t>0.014818676879253881 at [0.6466435138325505, -0.000626457778471507, 0.00683976128407393, -1.67661387233636, 0.03498520752354886, -0.006447834402482193, 0.2937681236532521, -0.00015286194954467635, 0.00027440950101319104]</t>
  </si>
  <si>
    <t>without s in reference, gamma = 0.45</t>
  </si>
  <si>
    <t>0.017373519179798312 at [0.14621098889177117, 0.039516064777606066, -0.005762143534230547, -1.3843518682648968, 0.07105020406860801, -0.0032982228093802043, 9.182389856534907e-5, 0.00017887581119976743]</t>
  </si>
  <si>
    <t xml:space="preserve"> 0.014131920339287497 at [0.611939639909158, 2.905115625080427e-5, 0.00791093475319738, -1.5990292937870496, 0.033283226862836426, -0.007046242709215298, 0.2925108088576414, -0.0001492692914939866, 0.0002578687747956889]</t>
  </si>
  <si>
    <t>(C_CH3 .* num_CH3 .+ C_CH2 .* num_CH2).* (1 .- sqrt.(T/T_C))</t>
  </si>
  <si>
    <t>0.023179441317254648 at [0.09234551708990833, 0.05046565840989337, -0.08526028279700011, -0.6599134025198212, 0.16945442460435045, 0.02642004066947587, 0.6970504696575293, 0.0002141298882459813, -2.1915807505138137e-5]</t>
  </si>
  <si>
    <t>0.01397670780645686 at [0.688866841459201, -0.00923362274223204, 0.03706620162033706, -1.5528118477028001, 0.045003909922894415, -0.023836226816234377, 0.3423156760335302, -0.0001753613613125932, 0.00024417274932857935]</t>
  </si>
  <si>
    <t>(C_CH3 .* num_CH3 .+ C_CH2 .* num_CH2).* (1 .+ sqrt.(T/T_C))</t>
  </si>
  <si>
    <t>(C_CH3 .* num_CH3 .+ C_CH2 .* num_CH2)  .* (log.(T))</t>
  </si>
  <si>
    <t>0.014746273489593707 at [0.6237704274716604, -0.0011273941692832659, 0.008225051489595313, -1.592597876356558, 0.03583247263350676, -0.007008004878469521, 0.30512460701543354, -0.00015383230201878253, 0.0002569134846640115]</t>
  </si>
  <si>
    <t>0.01859793971519111 at [0.18266494256101992, 0.005652483980896793, 4.15684243963342e-6, -0.8827423253243408, 0.0036526716835556246, -1.4641447971001281e-5, 0.04677256675933578, -1.6999289310195207e-5, 0.00010377537700195327]</t>
  </si>
  <si>
    <t>(C_CH3 .* num_CH3 .+ C_CH2 .* num_CH2)  .* s_id</t>
  </si>
  <si>
    <t>0.015303293242156707 at [0.6769794047931846, -0.010753960240332134, 0.03587555559089325, -1.5207073621652687, 0.05026549688874813, -0.02278435980076273, 0.3645905555510779, -0.00016845412374034044, 0.0002362809356385539]</t>
  </si>
  <si>
    <t>(C_CH3 .* num_CH3 .+ C_CH2 .* num_CH2) .* (1 .+ sqrt.(T./T_C))</t>
  </si>
  <si>
    <t>gc</t>
  </si>
  <si>
    <t>0.017585109473320235 at [0.1458792096717244, 0.04010148460774199, -0.007239411057742815, -1.3476801721606626, 0.06851343798924296, -0.0035227492365944788, 0.4483330947568406, 0.004374123474542245]</t>
  </si>
  <si>
    <t xml:space="preserve"> 0.01826918258318692 at [0.13955652078188502, 0.04241371279196094, -0.018344492012133357, -1.2529988875495501, 0.07743096419761823, -0.011041978645919284, 0.477347424795346, 0.00392259209727637]</t>
  </si>
  <si>
    <t>(C_CH3 .* num_CH3 .+ C_CH2 .* num_CH2) .* (log.(T))</t>
  </si>
  <si>
    <t>(C_CH3 .* num_CH3 .+ C_CH2 .* num_CH2) .*s_id</t>
  </si>
  <si>
    <t>0.019802195627762826 at [0.23787386902166957, 0.015572116102696088, -3.676722141308486e-5, -0.9491384326772997, 0.020030534797793143, -7.463048366625147e-6, 0.3050950845157443, 0.002187425634779448]</t>
  </si>
  <si>
    <t>0.023630655931367008 at [0.5027255703220656, 0.0058149949066830225, 0.0004553064940386306, -1.083000924090547, 0.020222354470999945, -0.00042451026617739416, 0.28682650668593446, 0.0019695992954421033]</t>
  </si>
  <si>
    <t>Ideal model</t>
  </si>
  <si>
    <t xml:space="preserve"> 0.018779369425145735 at [0.2521589072857311, 0.007749020441495943, 0.0007704668693620841, -0.9713616216609601, 0.010703598811358848, -0.0005995944095719144, 0.1880323536167248, -5.731593381681257e-5, 0.00011589528194061788]</t>
  </si>
  <si>
    <t>Acentric factor</t>
  </si>
  <si>
    <t>Mw</t>
  </si>
  <si>
    <t>D = (D_CH3 .* num_CH3 .* S_CH3 * sigma_CH3^3 .+ D_CH2 .* num_CH2 .* S_CH2 * sigma_CH2^3)</t>
  </si>
  <si>
    <t>(C_CH3 .* num_CH3 .+ C_CH2 .* num_CH2) .*  (1 .+ m .* sqrt.(T./T_C))</t>
  </si>
  <si>
    <t>m = m_1 + m_2 * Mw_model + m_3 * Mw_model^2</t>
  </si>
  <si>
    <t xml:space="preserve"> m = m_1 + m_2 * acentric_fact + m_3 * acentric_fact^2</t>
  </si>
  <si>
    <t>0.012082077471920995 at [0.3601338624950054, 0.012571400966911837, -0.08672928389751446, -1.4644062984382378, 0.048206501729219614, -0.005570581035397222, 0.3694136911049116, 0.00018838331468305712, 0.0001639766119049967, -1.2321620400064253, 3.2451657914282355, 1.038143892540589]</t>
  </si>
  <si>
    <t>0.012145154164709845 at [0.22311992203010386, 0.01892763056088764, -0.09968670672385233, -1.357797583343831, 0.031874217787294, -0.001683690848038567, 0.3175076261986114, 0.00023421863834581987, 0.00014377419901436968, -0.9927325409136291, 7.98070549196157, 7.09279125158157]</t>
  </si>
  <si>
    <t>BRANCHED</t>
  </si>
  <si>
    <t>0.142209389719145 at [-5.345367204169419, 0.044309711230071595, 0.0951614852547662, 0.0013834292725805246]</t>
  </si>
  <si>
    <t>0.19986957022000298 at [-6.561471086309322, 0.1235962963970768, 0.06636613961736118, 0.0017278779961816565]</t>
  </si>
  <si>
    <t>(visc .- visc_CE) ./ ((ρ_N .^ (2/3)) .* sqrt.(m .* k_B .* T))</t>
  </si>
  <si>
    <t> z_term = (-s_res ./ R)./total_sf</t>
  </si>
  <si>
    <t>With Butane and eicosane</t>
  </si>
  <si>
    <t>0.019520644716213974 at [0.07499014575254812, 0.022952089265885545, -0.07399881535579876, -1.1555094778528896, 0.03046889724552433, -0.0015829542219616076, 0.33134385697591257, 0.00020404016733679533, 0.0001216378536253241, -0.89664645425576, 8.430884960547536, 5.5927245874714435]</t>
  </si>
  <si>
    <t>With butane and eicosane, no gc D</t>
  </si>
  <si>
    <t>0.019302916351982707 at [0.19559025036303335, 0.018912789212091306, -0.06761408366502693, -1.2655623019376703, 0.045790843429993525, -0.004667006209021333, 0.3805297946833446, 0.0001799444443344225, 0.00013889229826572903, -1.1230043231178861, 3.3689008640029456, 0.7584843983933585]</t>
  </si>
  <si>
    <t>0.02043678252127278 at [0.1996694035404919, 0.013163399618677435, -0.0395093022663388, -1.1712339187550833, 0.025427903131912948, -0.006610385377581092, 0.2946194908647525, 0.003918383017106727, -1.3580945763938599, 4.958547241103466, -0.662141126516273]</t>
  </si>
  <si>
    <t>0.02122017199443368 at [0.05088378725690212, 0.01245345701220274, -0.0331264065285441, -1.0598077593607071, 0.010017131999968907, -0.006504921735494723, 0.16820899952752721, 0.003778390553963598, -0.6193124519402389, 10.035184537256677, -4.778956136806465]</t>
  </si>
  <si>
    <t>n-alkane results</t>
  </si>
  <si>
    <t>AAD = [0.07836902577032372, 0.017854234370833038, 0.014978917009567019, 0.027018571556138547, 0.025988598456587714, 0.0278929328233891, 0.022533513839254202, 0.021303401636190603, 0.014233907349151033, 0.020070947573084686, 0.025929853419238105, 0.020782075526735527, 0.04187704008681075, 0.017802766504567833, 0.07263816503330625]</t>
  </si>
  <si>
    <t>AAD = [0.03937456121503273, 0.017303562920960903, 0.02184375668581002, 0.03503401463725392, 0.028414139729626916, 0.030650797689925024, 0.024510154239499315, 0.02136674283238969, 0.015608542806069513, 0.021218449247779932, 0.027678778725591564, 0.023148593282495505, 0.04214810351495553, 0.020039433610470666, 0.03454110997016711]</t>
  </si>
  <si>
    <t>AAD RESULTS</t>
  </si>
  <si>
    <t>Mean n-alkane</t>
  </si>
  <si>
    <t>Max n-alkane</t>
  </si>
  <si>
    <t>Mean branched</t>
  </si>
  <si>
    <t>Max branched</t>
  </si>
  <si>
    <t>Max substance</t>
  </si>
  <si>
    <t>No isobutane</t>
  </si>
  <si>
    <t>Mean all2</t>
  </si>
  <si>
    <t>Max substance2</t>
  </si>
  <si>
    <t>0.10854300574255266 at [-5.797542745950685, 0.1174779736132968, 0.05757816641278074, 0.0008065450957442243]</t>
  </si>
  <si>
    <t xml:space="preserve"> 0.08568178466690327 at [-5.277536540878634, 0.051736443260454255, 0.07203219370665288, 0.0007019909860755935]</t>
  </si>
  <si>
    <t>0.17483104352134493 at [-7.97905383182368, 0.019408929508173477, 0.022312532386437055]</t>
  </si>
  <si>
    <t>0.16031495239546883 at [-9.720857935000476, 0.09978405849870149, 0.02766346138589258]</t>
  </si>
  <si>
    <t>All fluids</t>
  </si>
  <si>
    <t>0.0575093025185071 at [-0.09194211661410027, 0.01621864744433341, -0.1168437756322754, -1.0441904623328002, 0.00971303090925412, 0.0032564975641565116, -3.1595187214117595, -0.015591336058781484, 0.12101699166149918, 0.16843510700886988, 0.0002995449857768105, 0.00011956551997084123, 0.00048803550774612173, -0.5735916764821287, 1.0178655082344061, 31.36417101798132]</t>
  </si>
  <si>
    <t>0.046807876804519415 at [0.13440344575112959, 0.01693119793958092, -0.07794309468043721, -1.136141874135607, 0.02197403046717138, -0.0012674898130898044, -7.077652467403274, 0.0550097779974172, 0.0691467536044052, 0.27994870145813633, 0.00020769375829563029, 0.00012771902829980988, 0.0007054803775198056, -0.9771641670973747, 8.025923563164133, 8.864364146874223]</t>
  </si>
  <si>
    <t>Eicosane</t>
  </si>
  <si>
    <t>4-methyloctane</t>
  </si>
  <si>
    <t>Mean all4</t>
  </si>
  <si>
    <t>Max no 2,6,10,14</t>
  </si>
  <si>
    <t>0.05485643192438667 at [0.21585174042633373, 0.011574358521069365, -0.03016800466399687, -1.0051937394413906, 0.018119586911424273, -0.001218916124422348, -9.103250588202892, 0.0785561961106087, 0.028491822848673184, 0.265380739988305, 0.0032631890851608563, -1.7157476311142088, 19.45995444298263, 6.39408197399986]</t>
  </si>
  <si>
    <t>With squal and 2,6,</t>
  </si>
  <si>
    <t>0.09321970794709215 at [0.0768718640420482, 0.018265921283627754, -0.10562955177107872, -1.1250777034414874, 0.02356146902415405, 0.0006132508214657035, -5.932195328909683, 0.0494666333812798, 0.10582349263424635, 0.2870524572526164, 0.00025644496721601235, 0.0001347409721572373, 0.0005822634525999046, -0.989541554544367, 6.402974140817871, 13.678043989639276]</t>
  </si>
  <si>
    <t xml:space="preserve"> 0.046807876804519415 at [0.13440344575112959, 0.01693119793958092, -0.07794309468043721, -1.136141874135607, 0.02197403046717138, -0.0012674898130898044, -7.077652467403274, 0.0550097779974172, 0.0691467536044052, 0.27994870145813633, 0.00020769375829563029, 0.00012771902829980988, 0.0007054803775198056, -0.9771641670973747, 8.025923563164133, 8.864364146874223]</t>
  </si>
  <si>
    <t>No squlane no 2,6</t>
  </si>
  <si>
    <t>All but 9-octyl</t>
  </si>
  <si>
    <t>0.10518597722821453 at [0.4908945956328157, -0.02228163524723636, 0.012728996971952003, -1.1419353765779565, 0.0923766776838044, -0.006855113628932615, -18.853890025003313, 1.1398942260453089, -0.0676403544001231, 0.5037021813629879, -3.7046768858642616e-5, 0.00014051025186221, 0.0029084503114609824, 4.9608611433912975, -10.673614268648723, 13.311990845652922]</t>
  </si>
  <si>
    <t>6A</t>
  </si>
  <si>
    <t>squalane</t>
  </si>
  <si>
    <t>Using Mw and GC D (model 6) with various weightings</t>
  </si>
  <si>
    <t>Weighting</t>
  </si>
  <si>
    <t>C optimize</t>
  </si>
  <si>
    <t>0.0557696748592912 at [14.426632824590186, -0.13299773271451798, 0.17297081601821218, 0.0031387430760400153]</t>
  </si>
  <si>
    <t>0.06106648670690182 at [0.14544200778907007, 0.010683439643496976, -0.06148080798139255, -1.1927784860733681, 0.011458247757004004, -0.008458302429596044, -6.70322582565162, 0.013433432693828238, 0.03532440730533404, 5.441006090748911, -0.0513546650750801, 0.1412593290192207, 0.16499191915814165, 0.000157392327889979, 0.00016724013588380074, 0.0016759054663535538, 0.0026320850844137205, -1.019572741285313, 10.667125465466807, -7.956775819220652]</t>
  </si>
  <si>
    <t>Group wise</t>
  </si>
  <si>
    <t>Mean Without 2,6,10 and 2,2,4 trimethylhexane</t>
  </si>
  <si>
    <t>Substance</t>
  </si>
  <si>
    <t>4-Methyloctane</t>
  </si>
  <si>
    <t>n-alkane</t>
  </si>
  <si>
    <t>Mw/gmol</t>
  </si>
  <si>
    <t>Optimal m</t>
  </si>
  <si>
    <t>Predicted m</t>
  </si>
  <si>
    <t>AAD%</t>
  </si>
  <si>
    <t>Without SF or MGC on S+</t>
  </si>
  <si>
    <t>0.02570893940054777 at [-0.07020613988459963, 0.4526929704410887, -1.6734960099036927e-5, -0.6976576704156878, 0.3681270045188838, 9.30920589170978e-5, 1.040106781887901, 1.5674091869700848e-5, -1.999341455459331e-6, -20.2637266914618, 38.55028392360753, 26.27614884148527]</t>
  </si>
  <si>
    <t>Linear</t>
  </si>
  <si>
    <t>0.25060199369311403 at [8.130289974449004, -2.197224469355373, -0.00015921723744090146, -6.147413637510999e-5]</t>
  </si>
  <si>
    <t>0.2280679812954024 at [-21.783145290150724, 0.9122921752358054, 0.0002194894975647685, -0.00019687570877859672]</t>
  </si>
  <si>
    <t>0.14036927676223585 at [-0.5533420873915341, 0.3413336545102068, 6.747003936873294e-5, -0.31566144173589217, 0.07546390104520338, 3.3501563282222103e-6, -3.0011155223080594, -0.45149237688091926, 5.092082565391492e-6, 29.257200501976833, -3.305544976466496, -0.00016042370189360384, 0.8716985904849053, 1.525802465333284e-5, -1.8372694137785057e-6, -5.775794641500082e-5, -0.00017962949033156213, -73.26395748305481, 78.70706222293607, 81.13057727604007]</t>
  </si>
  <si>
    <t>All</t>
  </si>
  <si>
    <t>Functional Group</t>
  </si>
  <si>
    <t>m1</t>
  </si>
  <si>
    <t>m2</t>
  </si>
  <si>
    <t>m0</t>
  </si>
  <si>
    <t>With Ethane</t>
  </si>
  <si>
    <t xml:space="preserve"> 0.12755650120541748 at [-0.7308696304541888, 0.016438988670898942, -0.11192783609788026, -0.6859728157437659, 0.004116731729125687, 0.0008269825020766263, 4.883679088389877, -0.04610561098027909, 0.1125763511428556, 34.73032759804633, -0.16738727314227325, 0.27278154424196444, 0.07965916199082113, 0.0002863299993112273, 0.00013395599491758907, 0.0008338348169482905, 0.0009703891890810598, -0.4681072632980971, 3.881088109111444, 13.0335058766763]</t>
  </si>
  <si>
    <t>THIS IS WITHOU ETHANE</t>
  </si>
  <si>
    <t>num groups for tau</t>
  </si>
  <si>
    <t>0.019348708828922725 at [-0.030412555394213076, 0.0003759524822874654, -0.0788585031729372, -1.0894087686841185, 2.3172430099106588e-6, -0.0002924330416947319, -0.6617771433184333, 0.00021759950159757008, 0.00011712305344327157, -0.6791089104679724, 0.08324012291665168, 0.002834878605430142]</t>
  </si>
  <si>
    <t>0.047815638582830555 at [-4.210153940606789, -0.0013781702406517348, 0.0814448258175527, 0.0005347642026566619]</t>
  </si>
  <si>
    <t xml:space="preserve"> 0.0870249516377847 at [-11.235151012468302, -0.003945747867950811, 0.16212677542893697, 0.0023317530366642053]</t>
  </si>
  <si>
    <t>Number of groups for tau function</t>
  </si>
  <si>
    <t xml:space="preserve">[0.3331146804411593, 0.004008516939816172, -7.200729416054543e-5, -0.8790852726537773, 0.007301853141179978, 3.548541125552805e-5, </t>
  </si>
  <si>
    <t>-6.54349752948493, 0.02691391753786118, 0.00020523872873219124, -2.672989576306306, 5.156256391072562e-6, 9.079965247259052e-5, 0.13414255828609212, 1.369922923059573e-5, 0.000101750454318113, 0.0017891590557210708, 0.003178772122537697, -283.7667559762434, -27.23026925611101, 0.3356077557831271]</t>
  </si>
  <si>
    <t>Acentric Factor</t>
  </si>
  <si>
    <t>Crit_res_entropy</t>
  </si>
  <si>
    <t>0.0658085225697155 at [0.18380429041626706, 0.00926271817583487, -0.016736791143933925, -1.1628779418673048, 0.00971090571491477, -0.013748613245391289, -7.74673863485519, 0.016728450066019186, -0.029417127854903555, 5.201552330552332, -0.06115356102481718, 0.05215664709797355, 0.142522263832269, 5.213959989501366e-5, 0.00018572431352956148, 0.0022188349152456053, 0.003361644345102922, -0.43693000399985965, 3.093202568036602, -0.9483604313643107]</t>
  </si>
  <si>
    <t>0.06588490206713196 at [0.21705603934281695, 0.00885007504888703, -0.004527981432552154, -1.1467346983025062, 0.010526008854372184, -0.013946971952337016, -8.080518383874432, 0.02645672266347212, -0.04440275806780744, 3.579749398577391, -0.059128892173781825, 0.03112461564152331, 0.15623303535710734, 2.156436460267818e-5, 0.00018398460164090617, 0.0023741202979286453, 0.003331920415654445, 2.363961650555918, -0.6277839123673898]</t>
  </si>
  <si>
    <t> m_i  = m_2*acentric_fact + m_3*acentric_fact^2</t>
  </si>
  <si>
    <t> m_i  = m_1 +  m_2*acentric_fact + m_3*acentric_fact^2</t>
  </si>
  <si>
    <t>C4</t>
  </si>
  <si>
    <t>C5</t>
  </si>
  <si>
    <t>C6</t>
  </si>
  <si>
    <t>C8</t>
  </si>
  <si>
    <t>C10</t>
  </si>
  <si>
    <t>C12</t>
  </si>
  <si>
    <t>C13</t>
  </si>
  <si>
    <t>C15</t>
  </si>
  <si>
    <t>C16</t>
  </si>
  <si>
    <t>C17</t>
  </si>
  <si>
    <t>C20</t>
  </si>
  <si>
    <t>2-methylpropane</t>
  </si>
  <si>
    <t>Optimal</t>
  </si>
  <si>
    <t>2-methylbutane</t>
  </si>
  <si>
    <t>2-methylpentane</t>
  </si>
  <si>
    <t>3,5- dimethylpentane</t>
  </si>
  <si>
    <t>2-methyloctane</t>
  </si>
  <si>
    <t>3,6 - dimethyloctane</t>
  </si>
  <si>
    <t>2-methylnonane</t>
  </si>
  <si>
    <t>2-methyldecane</t>
  </si>
  <si>
    <t>3-methylundecane</t>
  </si>
  <si>
    <t>2-methylpentadecane</t>
  </si>
  <si>
    <t>7-methylhexadecane</t>
  </si>
  <si>
    <t>2,2,4-trimethylpentane</t>
  </si>
  <si>
    <t>heptamethylnoane</t>
  </si>
  <si>
    <t>2,2,4-trimethylhexane</t>
  </si>
  <si>
    <t>Acentric</t>
  </si>
  <si>
    <t>Acentric predict quad</t>
  </si>
  <si>
    <t>Acentric predict 2</t>
  </si>
  <si>
    <t xml:space="preserve">Reduced residual critical entropy </t>
  </si>
  <si>
    <t>Reduced residual critical entropy - 1</t>
  </si>
  <si>
    <t>weightings = [0.8, 1.0,1.0,1.0,1.0,1.0,1.0,1.0,1.0,1.0, 0.8,0.15, 0.35, 0.45, 0.55, 0.5, 0.3, 0.3, 0.3, 0.3, 0.3, 0.3, 0.3 , 0.3 , 0.3, 0.3, 0.4, 0.1]</t>
  </si>
  <si>
    <t>weightings = [0.8, 1.0,1.0,1.0,1.0,1.0,1.0,1.0,1.0,1.0, 0.8, 0.15, 0.35, 0.45, 0.55, 0.5, 0.3, 0.3, 0.3, 0.3, 0.3, 0.3, 0.3 , 0.3 , 0.3, 0.3, 0.4, 0.1]</t>
  </si>
  <si>
    <t>0.05804653907844275 at [0.8323655477410299, -0.058045759242486276, 0.052514146734784724, -1.640918108637263, 0.11326417950757697, -0.02962635224076876, -21.290840211647932, 1.1865667944789025, -0.18663604824732855, -37.659105971236144, 2.1396093794863424, -0.26359791797455423, 0.4782629614789716, -0.0001840795444819355, 0.0002656538948040817, 0.004418155234869952, 0.011695736167547863, 2.052070354827617, -3.739471851016895, 2.5581135726444133]</t>
  </si>
  <si>
    <t>FOR S CRIT RES</t>
  </si>
  <si>
    <t>m_i  = m_1 + m_2*res_entr_crit + m_3*res_entr_crit^2</t>
  </si>
  <si>
    <t>With power</t>
  </si>
  <si>
    <t xml:space="preserve"> 0.058270908768666564 at [0.22094535978490432, 0.008333968719790204, -0.024182974132460986, -1.1978126548498873, 0.00958546475384391, -0.019137708023955466, -8.236926954802959, 0.021009247506700666, -0.03887237012467386, 2.770012802937354, -0.052121424309366504, 0.08202924893856159, 0.13816670401137154, 0.00010971206060431459, 0.00017195443344511583, 0.0020095458507893896, 0.0021533341333265558, -0.6123816709188983, 5.703776593787865, -4.148366576410572, 1.0137924787540982]</t>
  </si>
  <si>
    <t>Acen</t>
  </si>
  <si>
    <t>crit -1</t>
  </si>
  <si>
    <t>0.05825457001843879 at [0.3453191907060078, 0.005892595434249571, 0.005449892608060132, -1.2495318386134109, 0.011325029865136666, -0.025785727084790367, -10.450314930736816, 0.047265688885840575, -0.1045097798840701, -2.4683886930791252, -0.014099800451465581, 0.01609246833025267, 0.15347011283974138, 2.9440994749044746e-5, 0.00019470191885718395, 0.002686321278755603, 0.00297162719891277, -0.6186913944165799, 1.7191070104394435, -0.021814638108576808, 1.4109205602747832]</t>
  </si>
  <si>
    <t>0.06477484725741556 at [0.5254421647606006, 0.0016656479866204732, 0.045074730109362436, -1.3595249531461797, 0.016056417009535903, -0.03695140944443641, -12.872144135163545, 0.09330621333478913, -0.18018262287264, -12.201242239543397, 0.06416695384189082, -0.07767602468343099, 0.18950043579044287, -9.273255723899576e-5, 0.0002437622441159378, 0.0035796066196910983, 0.004228221345497804, -0.43699958178495607, 0.890799191306495, 1.0645720283875124, 2.5083219498721316]</t>
  </si>
  <si>
    <t>crit</t>
  </si>
  <si>
    <t>n</t>
  </si>
  <si>
    <t>min=5.099807e-02 best=[1.3700364660928317, -0.12096490355901084, 0.0018606535973168111, -2.091448636628764, 0.1488161269060533, -0.0008801618802455852, -28.43044691611543, 1.5329182312403293, -0.004884935849144078, -59.265796764110455, 3.3093714594281836, -0.008518476732402474, 0.4909350821198512, -0.0003409523444065955, 0.0003383836239832422, 0.005024032682882069, 0.015416724975924698, 378.633948926212, -357.4573349023719, 104.10808296816074, 0.14517276404388996</t>
  </si>
  <si>
    <t xml:space="preserve"> 0.05827151850629936 at [0.2174584700616018, 0.008361680913211746, -0.025053309530719003, -1.1949802524204984, 0.009496373781074274, -0.01887191332418902, -8.174665043147424, 0.020268968800656033, -0.037029453668895734, 2.9338462417947166, -0.052685137143649134, 0.08362576947791169, 0.13710940660288795, 0.00011170753171621334, 0.00017118748215993833, 0.001993761553613756, 0.0021440131362818115, -0.6190192697993737, 5.77318771388499, -4.20985789676712]</t>
  </si>
  <si>
    <t>exp = 1</t>
  </si>
  <si>
    <t>0.05905115395618882 at [0.27599553365709784, 0.006709417053223589, -0.009178326922009292, -1.1896522318659597, 0.009390359501030357, -0.02097893557821805, -9.081508102900115, 0.02855906756928941, -0.06784500497619946, 1.2124070698351408, -0.031242082328243003, 0.04332245635190416, 0.13135512942533029, 6.113531926494879e-5, 0.0001828343650515877, 0.002359342904642352, 0.002858888200800245, -0.7284465485940593, 2.3272599727351, -0.43721020395924043]</t>
  </si>
  <si>
    <t>0.058270908768672525 at [0.22094534780797612, 0.008333969760231028, -0.024182961218314876, -1.1978125979152512, 0.009585467357823335, -0.0191377101239384, -8.236924392435407, 0.02100925340053405, -0.03887238852069086, 2.770018632900981, -0.05212144045170641, 0.08202924125529934, 0.13816675140472712, 0.00010971202845321645, 0.0001719544373297051, 0.002009546054353253, 0.0021533340926189696, -0.6008996017350379, 0.07977223930867723, -0.0008162188728615224, 1.0137927106704954]</t>
  </si>
  <si>
    <t>6.654187e-02 best=[0.22541973654155878, 0.0003573272430184375, 0.000695199527103719, -0.7356974157625014, 5.372137601949603e-5, 1.5877694824987887e-5, -3.1321656310571955, -0.001177153095142731, -0.0007073080172634057, 1.00495352932324, -0.003391865190510336, -0.001854009111603349, -0.5216114752368064, 6.786493990364583e-5, 5.066876297097107e-5, 0.0011741851891547293, 0.003112169830586356, -11.588829753617839, 9.61413681409126, -0.8500287293823466]</t>
  </si>
  <si>
    <t>tot st</t>
  </si>
  <si>
    <t>0.0577482389208532 at [0.17938216067643672, 0.009906350431884115, -0.03244797379555825, -1.195436477028589, 0.01086647198273891, -0.01806810152111004, -7.433003005031521, 0.020283236013904547, -0.018747627617261647, 4.6742885074640785, -0.059513053737500564, 0.09285659561173475, 0.15956164931537992, 0.00013443569742639942, 0.0001669180432083485, 0.0017788699322913327, 0.0022823494594877984, -0.8189006746679283, 0.3485572560246729, -0.013066457641855546]</t>
  </si>
  <si>
    <t>exp = 0.5</t>
  </si>
  <si>
    <t>0.050481842289226635 at [0.1767186577300886, 0.013493697090978442, -0.0510862090297661, -1.2375701160462145, 0.022434900861242058, -0.011072514164238148, -7.745754045932248, 0.08872075110947047, 0.03322097230725433, 1.0852575669444013, 0.04429583881773569, 0.10108861045936172, 0.2654771130522655, 0.00012549193650329335, 0.00017450166150643242, 0.0019361481123808225, 0.004682511705760418, -4.557155198533045, 2.9499253500908846]</t>
  </si>
  <si>
    <t>red crit temp, no quadratic term</t>
  </si>
  <si>
    <t>exp1,mw</t>
  </si>
  <si>
    <t>Pentane</t>
  </si>
  <si>
    <t>Heptane</t>
  </si>
  <si>
    <t>Nonane</t>
  </si>
  <si>
    <t>Undecane</t>
  </si>
  <si>
    <t>Tridecane</t>
  </si>
  <si>
    <t>Pentadecane</t>
  </si>
  <si>
    <t>Heptadecane</t>
  </si>
  <si>
    <t>n-eicosane</t>
  </si>
  <si>
    <t>3,5-dimethylheptane</t>
  </si>
  <si>
    <t>3,6-dimethyloctane</t>
  </si>
  <si>
    <t>heptamethylnonane</t>
  </si>
  <si>
    <t>exp 0.5, reduced crit</t>
  </si>
  <si>
    <t>exp 1, m_gc</t>
  </si>
  <si>
    <t>exp 1, tot sf</t>
  </si>
  <si>
    <t>exp 1, acen</t>
  </si>
  <si>
    <t>Mean all</t>
  </si>
  <si>
    <t>Model 2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</si>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</sst>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71" formatCode="0.0000"/>
  </numFmts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7"/>
      <color rgb="FF6A9955"/>
      <name val="Consolas"/>
      <family val="3"/>
    </font>
    <font>
      <sz val="14"/>
      <name val="Consolas"/>
      <family val="3"/>
    </font>
    <font>
      <sz val="7"/>
      <color theme="1"/>
      <name val="Consolas"/>
      <family val="3"/>
    </font>
    <font>
      <sz val="11"/>
      <color theme="1"/>
      <name val="Consolas"/>
      <family val="3"/>
    </font>
    <font>
      <b/>
      <sz val="11"/>
      <color theme="1"/>
      <name val="Aptos Narrow"/>
      <family val="2"/>
      <scheme val="minor"/>
    </font>
    <font>
      <sz val="7"/>
      <color rgb="FFCE9178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theme="8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medium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2" fillId="0" borderId="0" xfId="0" applyFont="1" applyAlignment="1">
      <alignment vertical="center"/>
    </xf>
    <xf numFmtId="11" fontId="0" fillId="0" borderId="0" xfId="0" applyNumberForma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3" borderId="1" xfId="0" applyFill="1" applyBorder="1"/>
    <xf numFmtId="0" fontId="0" fillId="0" borderId="1" xfId="0" applyBorder="1"/>
    <xf numFmtId="0" fontId="6" fillId="0" borderId="0" xfId="0" applyFont="1"/>
    <xf numFmtId="0" fontId="4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6" fillId="0" borderId="2" xfId="0" applyFont="1" applyBorder="1"/>
    <xf numFmtId="0" fontId="4" fillId="4" borderId="3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0" fillId="0" borderId="0" xfId="0" applyNumberFormat="1"/>
    <xf numFmtId="0" fontId="0" fillId="4" borderId="3" xfId="0" applyFill="1" applyBorder="1"/>
    <xf numFmtId="0" fontId="0" fillId="0" borderId="3" xfId="0" applyBorder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71" fontId="0" fillId="0" borderId="0" xfId="0" applyNumberFormat="1"/>
  </cellXfs>
  <cellStyles count="1">
    <cellStyle name="Normal" xfId="0" builtinId="0"/>
  </cellStyles>
  <dxfs count="29">
    <dxf>
      <font>
        <strike val="0"/>
        <outline val="0"/>
        <shadow val="0"/>
        <u val="none"/>
        <vertAlign val="baseline"/>
        <color theme="1"/>
      </font>
    </dxf>
    <dxf>
      <font>
        <strike val="0"/>
        <outline val="0"/>
        <shadow val="0"/>
        <u val="none"/>
        <vertAlign val="baseline"/>
        <color theme="1"/>
      </font>
    </dxf>
    <dxf>
      <font>
        <strike val="0"/>
        <outline val="0"/>
        <shadow val="0"/>
        <u val="none"/>
        <vertAlign val="baseline"/>
        <color theme="1"/>
      </font>
    </dxf>
    <dxf>
      <font>
        <strike val="0"/>
        <outline val="0"/>
        <shadow val="0"/>
        <u val="none"/>
        <vertAlign val="baseline"/>
        <color theme="1"/>
      </font>
    </dxf>
    <dxf>
      <font>
        <strike val="0"/>
        <outline val="0"/>
        <shadow val="0"/>
        <u val="none"/>
        <vertAlign val="baseline"/>
        <color theme="1"/>
      </font>
    </dxf>
    <dxf>
      <font>
        <strike val="0"/>
        <outline val="0"/>
        <shadow val="0"/>
        <u val="none"/>
        <vertAlign val="baseline"/>
        <color theme="1"/>
      </font>
    </dxf>
    <dxf>
      <font>
        <strike val="0"/>
        <outline val="0"/>
        <shadow val="0"/>
        <u val="none"/>
        <vertAlign val="baseline"/>
        <color theme="1"/>
      </font>
    </dxf>
    <dxf>
      <font>
        <strike val="0"/>
        <outline val="0"/>
        <shadow val="0"/>
        <u val="none"/>
        <vertAlign val="baseline"/>
        <color theme="1"/>
      </font>
    </dxf>
    <dxf>
      <font>
        <strike val="0"/>
        <outline val="0"/>
        <shadow val="0"/>
        <u val="none"/>
        <vertAlign val="baseline"/>
        <color theme="1"/>
      </font>
    </dxf>
    <dxf>
      <font>
        <strike val="0"/>
        <outline val="0"/>
        <shadow val="0"/>
        <u val="none"/>
        <vertAlign val="baseline"/>
        <color theme="1"/>
      </font>
    </dxf>
    <dxf>
      <font>
        <strike val="0"/>
        <outline val="0"/>
        <shadow val="0"/>
        <u val="none"/>
        <vertAlign val="baseline"/>
        <color theme="1"/>
      </font>
    </dxf>
    <dxf>
      <font>
        <strike val="0"/>
        <outline val="0"/>
        <shadow val="0"/>
        <u val="none"/>
        <vertAlign val="baseline"/>
        <color theme="1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383679</xdr:colOff>
      <xdr:row>0</xdr:row>
      <xdr:rowOff>0</xdr:rowOff>
    </xdr:from>
    <xdr:to>
      <xdr:col>19</xdr:col>
      <xdr:colOff>436808</xdr:colOff>
      <xdr:row>8</xdr:row>
      <xdr:rowOff>110888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4E9C6B-044A-D334-3535-7396AB4D6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24020" y="0"/>
          <a:ext cx="6165004" cy="161179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5A66F0-5CDE-4693-B5EB-030664FECFD0}" name="Table1" displayName="Table1" ref="A1:I14" totalsRowShown="0">
  <autoFilter ref="A1:I14" xr:uid="{F95A66F0-5CDE-4693-B5EB-030664FECFD0}"/>
  <tableColumns count="9">
    <tableColumn id="1" xr3:uid="{B5E4B7B6-9362-4246-A88E-8F05B57FFD0E}" name="Fluids Trained on"/>
    <tableColumn id="9" xr3:uid="{00BD8D30-14FD-47A3-91E5-AC8711A8B7B9}" name="Model"/>
    <tableColumn id="2" xr3:uid="{ED3A6FB9-0462-4578-ADC0-906C39D36AAB}" name="Groups Optimized"/>
    <tableColumn id="3" xr3:uid="{61A81279-1319-4729-B6FA-FD4A4B773FE9}" name="Value"/>
    <tableColumn id="4" xr3:uid="{4AC1DFD0-F678-40E1-AB6D-7FB19A2D0A8C}" name="Value2"/>
    <tableColumn id="5" xr3:uid="{A481CB18-AF86-451C-AFCD-840CABF857ED}" name="Pure Fluid"/>
    <tableColumn id="6" xr3:uid="{DCA15683-D340-4F99-8D6E-C1E9BD8F6EFF}" name="Note"/>
    <tableColumn id="7" xr3:uid="{50E4D9CE-6185-4EB6-BDC4-835B18DA7F1A}" name="AAD train"/>
    <tableColumn id="8" xr3:uid="{05F19A85-DE21-44A6-B0DC-B7ADF6DBC933}" name="AAD 1ba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C54D7D-C641-4A51-B68D-3600ED94239A}" name="Table4" displayName="Table4" ref="A20:M26" totalsRowCount="1">
  <autoFilter ref="A20:M25" xr:uid="{0AC54D7D-C641-4A51-B68D-3600ED94239A}"/>
  <tableColumns count="13">
    <tableColumn id="1" xr3:uid="{F9490CCF-DB4F-4025-9539-3FBA42B8BB7F}" name="Fluid"/>
    <tableColumn id="2" xr3:uid="{5CE0F296-91A8-4EF8-AC13-595441C52252}" name="Column1"/>
    <tableColumn id="3" xr3:uid="{68CC88F9-7D98-4AA4-9785-E275D013AA5E}" name="CH3"/>
    <tableColumn id="4" xr3:uid="{52B161C5-D0CD-475C-8017-CF737692795C}" name="CH2"/>
    <tableColumn id="5" xr3:uid="{AFEE3996-D216-4741-8A45-41FFA82390E4}" name="GCM 1">
      <calculatedColumnFormula>C21*$D$3+D21*$E$3</calculatedColumnFormula>
    </tableColumn>
    <tableColumn id="6" xr3:uid="{32AF83E8-914D-494C-AC49-87DA2A6881F5}" name="GCM 2">
      <calculatedColumnFormula>C21*$D$4+D21*$E$4</calculatedColumnFormula>
    </tableColumn>
    <tableColumn id="12" xr3:uid="{E2A4A0D4-8AC3-4A36-9CA8-6647FAD0283F}" name="GCM 3" dataDxfId="28" totalsRowDxfId="27">
      <calculatedColumnFormula>Table4[[#This Row],[CH3]]*$D$2+Table4[[#This Row],[CH2]]*$E$5</calculatedColumnFormula>
    </tableColumn>
    <tableColumn id="7" xr3:uid="{2D171608-E864-4101-99C3-32D2EE2A54DC}" name="Pure"/>
    <tableColumn id="8" xr3:uid="{ED7085C9-F955-4B3C-9E38-073F175CE503}" name="Difference" totalsRowFunction="custom" dataDxfId="26" totalsRowDxfId="25">
      <calculatedColumnFormula>ABS(H21-E21)/H21*100</calculatedColumnFormula>
      <totalsRowFormula>AVERAGE(I21:I25)</totalsRowFormula>
    </tableColumn>
    <tableColumn id="9" xr3:uid="{2BD36278-E2C6-4497-8026-16728A2C6AB0}" name="Difference 2" totalsRowFunction="custom" dataDxfId="24" totalsRowDxfId="23">
      <calculatedColumnFormula>ABS(H21-F21)/H21*100</calculatedColumnFormula>
      <totalsRowFormula>AVERAGE(J21:J25)</totalsRowFormula>
    </tableColumn>
    <tableColumn id="14" xr3:uid="{5422C88A-2CF1-4A8A-AE7C-056F23DBEC58}" name="Difference 3" totalsRowFunction="custom" dataDxfId="22" totalsRowDxfId="21">
      <calculatedColumnFormula>ABS(H21-G21)/H21*100</calculatedColumnFormula>
      <totalsRowFormula>AVERAGE(K21:K25)</totalsRowFormula>
    </tableColumn>
    <tableColumn id="10" xr3:uid="{9D597197-681A-4EE9-B21B-A915E6EF771F}" name="N points"/>
    <tableColumn id="11" xr3:uid="{9EC3DDDE-09CE-4C98-966F-02183251925B}" name="N us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4773D0A-EA6C-4665-8CCB-0EC7752FAEEB}" name="Table48" displayName="Table48" ref="A28:K33" totalsRowShown="0">
  <autoFilter ref="A28:K33" xr:uid="{44773D0A-EA6C-4665-8CCB-0EC7752FAEEB}"/>
  <tableColumns count="11">
    <tableColumn id="1" xr3:uid="{D7B3CCCA-24EA-40B3-8FB8-3F79941F7067}" name="Fluid"/>
    <tableColumn id="2" xr3:uid="{49C412A1-028A-4F0F-A593-3100F6A78A91}" name="Column1"/>
    <tableColumn id="3" xr3:uid="{F69727FB-DD64-48AD-8706-34EB7BD91D35}" name="CH3"/>
    <tableColumn id="4" xr3:uid="{37A5195A-E5CC-40B2-9108-3274C7C6D071}" name="CH2"/>
    <tableColumn id="5" xr3:uid="{4A63C5F1-23E6-4C05-A339-D14F58329BA4}" name="GCM 1" dataDxfId="20">
      <calculatedColumnFormula>C29*$D$6+D29*$E$6</calculatedColumnFormula>
    </tableColumn>
    <tableColumn id="6" xr3:uid="{235D8C18-3F98-4FA2-877F-F3E243A6822E}" name="GCM 2" dataDxfId="19">
      <calculatedColumnFormula>C29*$D$7+D29*$E$7</calculatedColumnFormula>
    </tableColumn>
    <tableColumn id="7" xr3:uid="{DE73E0FE-F53D-455B-A920-A2C055C06B54}" name="Pure"/>
    <tableColumn id="8" xr3:uid="{83A6A24A-A67F-4C66-805B-90E0325F147F}" name="Difference" dataDxfId="18">
      <calculatedColumnFormula>ABS(G29-E29)/G29*100</calculatedColumnFormula>
    </tableColumn>
    <tableColumn id="9" xr3:uid="{6D9BDE64-FE3C-49CA-B60C-0038714B8D03}" name="Difference 2" dataDxfId="17">
      <calculatedColumnFormula>ABS(G29-F29)/G29*100</calculatedColumnFormula>
    </tableColumn>
    <tableColumn id="10" xr3:uid="{12E53D6D-1F9F-4F53-8C55-7FFF531EF38C}" name="N points"/>
    <tableColumn id="11" xr3:uid="{1253E97D-D198-42F0-A8B6-C2AA54079043}" name="N us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492FF3-FF0D-45CD-A669-4B1B74C8B5A8}" name="Table13" displayName="Table13" ref="A1:I14" totalsRowShown="0">
  <autoFilter ref="A1:I14" xr:uid="{D0492FF3-FF0D-45CD-A669-4B1B74C8B5A8}"/>
  <tableColumns count="9">
    <tableColumn id="1" xr3:uid="{7CB245E9-AED2-466C-86F0-2BA82079AF7F}" name="Fluids Trained on"/>
    <tableColumn id="9" xr3:uid="{FD5004C8-4014-449B-99C7-44BF1881E5E0}" name="Model"/>
    <tableColumn id="2" xr3:uid="{40F4A77F-9053-494E-940E-0558051D5C0A}" name="Groups Optimized"/>
    <tableColumn id="3" xr3:uid="{3DF74780-DD22-4EE9-9A0D-C09514ADC43D}" name="Value" dataDxfId="16">
      <calculatedColumnFormula>1.11096/6</calculatedColumnFormula>
    </tableColumn>
    <tableColumn id="4" xr3:uid="{49703CF6-FB85-4EBB-924B-B33B5B1ABAC6}" name="Value2"/>
    <tableColumn id="5" xr3:uid="{8963CD0C-60D2-4549-B33B-2A3FA55A66BD}" name="Pure Fluid"/>
    <tableColumn id="6" xr3:uid="{C04F4932-8443-4858-8FD7-2A00D3B28449}" name="Note"/>
    <tableColumn id="7" xr3:uid="{E377CF53-FA72-448C-8D75-B9B45C2023E2}" name="AAD train"/>
    <tableColumn id="8" xr3:uid="{4D42C470-C77A-410B-9161-F10894ED32AD}" name="AAD 1ba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D2F46B-1CED-4A27-A9DE-7E8FCCA33933}" name="Table134" displayName="Table134" ref="A26:I40" totalsRowShown="0">
  <autoFilter ref="A26:I40" xr:uid="{C9D2F46B-1CED-4A27-A9DE-7E8FCCA33933}"/>
  <tableColumns count="9">
    <tableColumn id="1" xr3:uid="{B1D064EA-1119-40B2-B361-F9DC470473DE}" name="Fluids Trained on"/>
    <tableColumn id="9" xr3:uid="{4614633E-F688-4AFA-904E-0100A5CE7CE9}" name="Model"/>
    <tableColumn id="2" xr3:uid="{3F42E0F3-B1D6-4855-A826-C4181860F341}" name="Groups Optimized"/>
    <tableColumn id="3" xr3:uid="{732CFF55-F808-450F-A12B-2AFAB3F6C0A7}" name="Value" dataDxfId="15">
      <calculatedColumnFormula>1.11096/6</calculatedColumnFormula>
    </tableColumn>
    <tableColumn id="4" xr3:uid="{0751B835-A6F6-4DBE-B006-3FF96AB0D847}" name="Value2"/>
    <tableColumn id="5" xr3:uid="{FF3286A2-F5FB-4A13-A184-210E0599F50E}" name="Pure Fluid"/>
    <tableColumn id="6" xr3:uid="{747C1A42-4776-48DE-B169-C51FCD75D666}" name="Note"/>
    <tableColumn id="7" xr3:uid="{D5024ACF-E705-420D-A2B8-A6FF34EB2F34}" name="AAD train"/>
    <tableColumn id="8" xr3:uid="{6A6A4C80-56D6-4C67-A68F-A3CEA8C5990F}" name="AAD 1ba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317142-EEDD-4872-8AF0-B4B96AE35B3B}" name="Table1346" displayName="Table1346" ref="A45:I62" totalsRowShown="0">
  <autoFilter ref="A45:I62" xr:uid="{26317142-EEDD-4872-8AF0-B4B96AE35B3B}"/>
  <tableColumns count="9">
    <tableColumn id="1" xr3:uid="{DCA7B086-EE70-4934-AE78-5113FD2CAE95}" name="Fluids Trained on"/>
    <tableColumn id="9" xr3:uid="{6D6AC1A0-3399-49C8-8029-86B2E4043FF7}" name="Model"/>
    <tableColumn id="2" xr3:uid="{B86A0EE0-A819-46F0-94F2-5E87C0E9ED8A}" name="Groups Optimized"/>
    <tableColumn id="3" xr3:uid="{A1863FBE-E135-4F32-AEA0-5C26DBA4C05B}" name="Value" dataDxfId="14">
      <calculatedColumnFormula>1.11096/6</calculatedColumnFormula>
    </tableColumn>
    <tableColumn id="4" xr3:uid="{03E83C4D-D923-4EB4-8786-CE35C1CEB5DE}" name="Value Constant"/>
    <tableColumn id="5" xr3:uid="{0681B6F1-BE5A-4830-A429-CAF35B23F493}" name="Pure Fluid"/>
    <tableColumn id="6" xr3:uid="{E1136263-1C33-4855-AB79-7DCD123FD66C}" name="Note"/>
    <tableColumn id="7" xr3:uid="{EB7DAA9E-F75E-45A3-8A91-318FA77D95F3}" name="AAD train"/>
    <tableColumn id="8" xr3:uid="{BE39F083-9E75-449E-B08D-50B1805A6AEE}" name="AAD 1ba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E7CA1D3-2021-4A4B-8CE6-0FA5F770CDE6}" name="Table6" displayName="Table6" ref="A74:I77" totalsRowShown="0">
  <autoFilter ref="A74:I77" xr:uid="{7E7CA1D3-2021-4A4B-8CE6-0FA5F770CDE6}"/>
  <tableColumns count="9">
    <tableColumn id="1" xr3:uid="{8BA17175-E7B1-4C6E-8522-BE5E1393B3CA}" name="Column1"/>
    <tableColumn id="2" xr3:uid="{0B588A6E-6BB5-41AD-A35C-9E067B8D42E3}" name="C"/>
    <tableColumn id="3" xr3:uid="{9E97DCCF-8229-4F80-85EF-E227E9394714}" name="n1"/>
    <tableColumn id="4" xr3:uid="{ADE49444-55F4-43DE-B00F-85C421C8A2C6}" name="n2"/>
    <tableColumn id="5" xr3:uid="{9EBBF952-9A05-4D9D-AD78-6E0CD8ED9C27}" name="n3"/>
    <tableColumn id="6" xr3:uid="{96BC1249-6357-401B-A617-678D8D1C9AA5}" name="e1"/>
    <tableColumn id="7" xr3:uid="{3E855E97-A787-43E4-9292-1CC0CCBCBBB8}" name="e2"/>
    <tableColumn id="8" xr3:uid="{73DEDF7C-E5D3-4D3C-9E13-261A9A881597}" name="e3"/>
    <tableColumn id="9" xr3:uid="{AFA9ADBA-45C5-4E79-8976-265A0FF50866}" name="f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EB6C7CF-E0E1-4CA7-91DA-6C7A435FF652}" name="Table8121315" displayName="Table8121315" ref="A2:J8" totalsRowShown="0">
  <autoFilter ref="A2:J8" xr:uid="{3EB6C7CF-E0E1-4CA7-91DA-6C7A435FF652}"/>
  <tableColumns count="10">
    <tableColumn id="1" xr3:uid="{2819C6AC-1EFE-4EFD-B5BC-D684B24BF4F5}" name="model 4"/>
    <tableColumn id="2" xr3:uid="{E97DA1D0-37B0-43C0-96C0-968E172B535B}" name="A"/>
    <tableColumn id="3" xr3:uid="{7A8D53C5-0F06-4BA9-9CFD-C9F28D1B01B0}" name="B"/>
    <tableColumn id="4" xr3:uid="{E2031163-D2DC-49FC-AD88-1B17A779E05E}" name="C"/>
    <tableColumn id="6" xr3:uid="{7C1CA799-0EEF-4105-84B7-975C2815C09E}" name="D"/>
    <tableColumn id="9" xr3:uid="{630C5865-4EE0-44A7-B0F1-962D9589A1B4}" name="Tau"/>
    <tableColumn id="10" xr3:uid="{42FA35B6-8A01-4EBC-9050-6ED7AFF33EA2}" name="Tau vdw, mean cross"/>
    <tableColumn id="5" xr3:uid="{06C29758-66BC-49F2-9BA5-F5E1D428D8C0}" name="gamma"/>
    <tableColumn id="7" xr3:uid="{ED99BE5C-B240-4876-BE80-FD2A194EF460}" name="f"/>
    <tableColumn id="8" xr3:uid="{F442E679-A20C-48E3-BC5C-34C7F5C434E7}" name="No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06DF4A4-6672-42DD-827E-7984139CCA0B}" name="Table15" displayName="Table15" ref="A11:H15" totalsRowShown="0">
  <autoFilter ref="A11:H15" xr:uid="{C06DF4A4-6672-42DD-827E-7984139CCA0B}"/>
  <tableColumns count="8">
    <tableColumn id="1" xr3:uid="{18992FD9-B0AF-4E54-8083-8D6E3CAF54BD}" name="Column1"/>
    <tableColumn id="2" xr3:uid="{409B385C-E8F2-4C26-BDB5-7539062A0EAF}" name="Molar average"/>
    <tableColumn id="3" xr3:uid="{1A64F93B-0C8E-4821-97C1-33E675E960D4}" name="x_sk vdw, mean cross"/>
    <tableColumn id="4" xr3:uid="{C6F7AEED-D232-4025-899F-1604BD25B983}" name="molar vdw,sqrt cross"/>
    <tableColumn id="5" xr3:uid="{4B095D98-B049-4259-B1FC-00DDBD7C621B}" name="molar vdw,sqrt cross, sqrt ^2 addition"/>
    <tableColumn id="6" xr3:uid="{B12D4B69-2B7A-4FF6-BD10-A4A03C7162F2}" name="Column2"/>
    <tableColumn id="7" xr3:uid="{FEAF30C8-6A92-4022-A368-CD43B0524605}" name="Column3"/>
    <tableColumn id="8" xr3:uid="{223B217C-572B-4E93-BD00-2C4AB9D58CEA}" name="Column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6454352-4798-40D7-83F5-9404A1C84A9D}" name="Table8" displayName="Table8" ref="A1:H7" totalsRowShown="0">
  <autoFilter ref="A1:H7" xr:uid="{16454352-4798-40D7-83F5-9404A1C84A9D}"/>
  <tableColumns count="8">
    <tableColumn id="1" xr3:uid="{A92ADD89-186E-45AA-997F-8868F153637D}" name="model 1"/>
    <tableColumn id="2" xr3:uid="{C3F2968A-CB77-41E3-8F6D-844E2C4CED96}" name="A"/>
    <tableColumn id="3" xr3:uid="{7C3991E2-5AF5-43F1-8BA7-7B7B12DD71DD}" name="B"/>
    <tableColumn id="4" xr3:uid="{D996C02D-6042-4D81-BAC8-EBDD448A7865}" name="C"/>
    <tableColumn id="5" xr3:uid="{86E9C172-0418-4B21-90E7-CCF41C491DF5}" name="gamma"/>
    <tableColumn id="6" xr3:uid="{50067DDA-7BAF-4E86-B3A3-C566AD40129B}" name="D"/>
    <tableColumn id="7" xr3:uid="{F562A7D4-A900-4B26-B9DC-8AB37D8AE23F}" name="f"/>
    <tableColumn id="8" xr3:uid="{564FF79C-4922-4B36-B799-A2FC04D1ED1C}" name="Column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9969B39-D44A-4069-9218-109F033DECB3}" name="Table811" displayName="Table811" ref="A42:I48" totalsRowShown="0">
  <autoFilter ref="A42:I48" xr:uid="{59969B39-D44A-4069-9218-109F033DECB3}"/>
  <tableColumns count="9">
    <tableColumn id="1" xr3:uid="{04807ECE-76CA-4643-82A4-EAFE71532FC7}" name="Column1"/>
    <tableColumn id="2" xr3:uid="{03360CF1-938B-4AAF-B1C0-4FFB4CD38F1D}" name="A"/>
    <tableColumn id="3" xr3:uid="{CE9D876A-A158-444C-9059-0EF2009B04B1}" name="B"/>
    <tableColumn id="4" xr3:uid="{8BB03711-AD44-46FF-911C-3B40EC510800}" name="C"/>
    <tableColumn id="5" xr3:uid="{2300CA0B-E9D4-4189-B78B-9ABF1488037C}" name="gamma"/>
    <tableColumn id="6" xr3:uid="{9B05C486-0E36-41B0-AB52-07E5A37BD0FA}" name="D_1"/>
    <tableColumn id="9" xr3:uid="{D45823DE-0553-4B00-9E2F-EA4F8A648CB7}" name="D_2"/>
    <tableColumn id="7" xr3:uid="{8919BAD9-BFCF-4E50-B57C-16642158A727}" name="f"/>
    <tableColumn id="8" xr3:uid="{BB53D3DE-2367-4CA5-89A3-5E48D0B21758}" name="Column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B3F8FC7-F2D1-40C8-A7F9-FFFDD2FBB65C}" name="Table812" displayName="Table812" ref="A11:H17" totalsRowShown="0">
  <autoFilter ref="A11:H17" xr:uid="{BB3F8FC7-F2D1-40C8-A7F9-FFFDD2FBB65C}"/>
  <tableColumns count="8">
    <tableColumn id="1" xr3:uid="{B91A393B-3B7B-42B7-9231-61D51F1BC111}" name="model 3"/>
    <tableColumn id="2" xr3:uid="{D4F3F415-E981-455D-849C-E26978480B9B}" name="A"/>
    <tableColumn id="3" xr3:uid="{553952E2-05EF-4A8C-B077-10D16F259FE4}" name="B"/>
    <tableColumn id="4" xr3:uid="{776F97B8-10AC-4212-9100-B30E0EF27344}" name="C"/>
    <tableColumn id="9" xr3:uid="{95E26B72-87C9-4B92-961D-F26DEAE522F3}" name="Tau"/>
    <tableColumn id="5" xr3:uid="{328B4D15-A017-42C0-9BDF-54F85DBD11D3}" name="gamma"/>
    <tableColumn id="7" xr3:uid="{3516C80A-E203-4981-9EF7-721D77381662}" name="f"/>
    <tableColumn id="8" xr3:uid="{8FE733C8-134B-4CA7-9230-E53D1ECBD94B}" name="Column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5EC615D-4DDE-4585-8E26-99B5ADB25657}" name="Table81213" displayName="Table81213" ref="A20:J26" totalsRowShown="0">
  <autoFilter ref="A20:J26" xr:uid="{75EC615D-4DDE-4585-8E26-99B5ADB25657}"/>
  <tableColumns count="10">
    <tableColumn id="1" xr3:uid="{1F12D79D-D17E-4005-97A0-39EDC4322267}" name="model 4"/>
    <tableColumn id="2" xr3:uid="{9A1D0DA6-4FDA-4932-BBCC-D30E790AB1AF}" name="A"/>
    <tableColumn id="3" xr3:uid="{BC8C7119-8E1C-4E3E-8EA6-1ECBABEC27D3}" name="B"/>
    <tableColumn id="4" xr3:uid="{CF881EC0-2F25-4257-AC90-F6AD89F22AB3}" name="C"/>
    <tableColumn id="6" xr3:uid="{92D124B2-224C-48C8-BDF8-14A032F7EF01}" name="D"/>
    <tableColumn id="9" xr3:uid="{1D385F8B-3D54-4A5A-9D76-54FB389BDFBC}" name="Tau"/>
    <tableColumn id="10" xr3:uid="{4E2BA35F-498B-40C1-B200-F5C484E9C125}" name="Tau vdw, mean cross"/>
    <tableColumn id="5" xr3:uid="{05CC8F95-C19D-44CF-9A68-0DC8B2306672}" name="gamma"/>
    <tableColumn id="7" xr3:uid="{6EC39FF9-E850-43AD-9AF3-5DEDDF56DDBC}" name="f"/>
    <tableColumn id="8" xr3:uid="{DCDF3426-38FB-46A4-9AED-05A5BA77FF03}" name="Not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BE02275-29C9-4E09-8977-D00B9A030D52}" name="Table14" displayName="Table14" ref="K2:AG8" totalsRowShown="0">
  <autoFilter ref="K2:AG8" xr:uid="{6BE02275-29C9-4E09-8977-D00B9A030D52}"/>
  <tableColumns count="23">
    <tableColumn id="1" xr3:uid="{59330728-1789-4EDD-8B7C-F2586E13102D}" name="Model"/>
    <tableColumn id="2" xr3:uid="{97D67201-D25E-421D-9626-84D3EFF30E21}" name="5"/>
    <tableColumn id="3" xr3:uid="{8377AB01-8BEB-49E2-8416-F9A3B88168F1}" name="6"/>
    <tableColumn id="4" xr3:uid="{EA71E3CB-1B98-405A-8929-48AB08C6C439}" name="7"/>
    <tableColumn id="5" xr3:uid="{2140E99D-AACB-4F4A-9149-B7158370DCB5}" name="8"/>
    <tableColumn id="6" xr3:uid="{D52748BF-CC64-4C5C-B5CF-FF90C91C3FF0}" name="9"/>
    <tableColumn id="7" xr3:uid="{CE494295-5871-4C49-9BA0-BB0F319C089F}" name="10"/>
    <tableColumn id="8" xr3:uid="{626D4219-5795-4D17-A816-42824D9DF8F4}" name="11"/>
    <tableColumn id="9" xr3:uid="{0E909F8C-61C9-4331-A71E-BA161995D179}" name="12"/>
    <tableColumn id="10" xr3:uid="{97A095A8-356F-4FF9-AAA3-9097E4F52660}" name="13"/>
    <tableColumn id="11" xr3:uid="{405CD15D-F6E1-497C-8236-0308FE971851}" name="14"/>
    <tableColumn id="12" xr3:uid="{3A741105-6AD8-4DB1-96E8-C0288DA9064A}" name="15"/>
    <tableColumn id="13" xr3:uid="{3A458D4A-FFA6-427C-AF93-53D1BB59F00B}" name="16"/>
    <tableColumn id="14" xr3:uid="{482177DB-EB98-4C2F-B862-A1FFE295965E}" name="17"/>
    <tableColumn id="15" xr3:uid="{6DE34164-BE02-452B-A59C-52315852B54D}" name="Mean">
      <calculatedColumnFormula>AVERAGE(K3:X3)</calculatedColumnFormula>
    </tableColumn>
    <tableColumn id="16" xr3:uid="{F9E328C7-4E81-4C63-8F3D-14E8A60582D2}" name="Max">
      <calculatedColumnFormula>MAX(K3:Y3)</calculatedColumnFormula>
    </tableColumn>
    <tableColumn id="17" xr3:uid="{17983C06-215D-4312-9EC4-A074B9F08D94}" name="2,6,10,14-tetramethylpentadecane"/>
    <tableColumn id="18" xr3:uid="{BC600C6B-3AD1-4DE7-988F-2A97B4F0A7C8}" name="IsoButane"/>
    <tableColumn id="19" xr3:uid="{B1223B47-96F5-47F1-80CB-D670B19870F6}" name="Isopentane"/>
    <tableColumn id="20" xr3:uid="{CBDADC1A-61B9-4CEE-AB65-2783BBBB14D5}" name="Isohexane"/>
    <tableColumn id="21" xr3:uid="{97A3786D-993E-43FD-AF95-CB8F844F4EBE}" name="Squalane"/>
    <tableColumn id="22" xr3:uid="{CF54FCA6-95F7-4D62-86FD-4F20254E52B2}" name="Mean Branched" dataDxfId="13">
      <calculatedColumnFormula>AVERAGE(AA3:AE3)</calculatedColumnFormula>
    </tableColumn>
    <tableColumn id="23" xr3:uid="{7BF98095-AD59-45FF-B764-267328E764C0}" name="Max Branched" dataDxfId="12">
      <calculatedColumnFormula>MAX(AA3:AF3)</calculatedColumnFormula>
    </tableColumn>
  </tableColumns>
  <tableStyleInfo name="TableStyleLight2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7FB36F0-F362-4850-A408-79A65BF99EA2}" name="Table8121318" displayName="Table8121318" ref="A29:J35" totalsRowShown="0">
  <autoFilter ref="A29:J35" xr:uid="{B7FB36F0-F362-4850-A408-79A65BF99EA2}"/>
  <tableColumns count="10">
    <tableColumn id="1" xr3:uid="{478D16F6-D249-4073-9C25-B7583A61DD6E}" name="model 4"/>
    <tableColumn id="2" xr3:uid="{8274109F-5775-4E98-8321-08E27C5B7A76}" name="A"/>
    <tableColumn id="3" xr3:uid="{5C217AB8-18FF-483A-B4DA-0BF946BDF0FF}" name="B"/>
    <tableColumn id="4" xr3:uid="{019998B2-2E24-4269-AD09-6C5C1FB49940}" name="C"/>
    <tableColumn id="6" xr3:uid="{6677F4FB-6240-45F8-94A8-DF52877DFE5C}" name="D"/>
    <tableColumn id="9" xr3:uid="{5858D617-4CF2-4703-9B48-9D7B14008FAF}" name="Tau"/>
    <tableColumn id="10" xr3:uid="{AEB2AFA5-20A1-452B-8DF4-1BDE7350FD9E}" name="Tau vdw, mean cross"/>
    <tableColumn id="5" xr3:uid="{57B6E89A-02B5-4EE5-9E5F-3532BDC767C7}" name="gamma"/>
    <tableColumn id="7" xr3:uid="{45B7C9CE-B803-473C-938E-94820BB2137A}" name="f"/>
    <tableColumn id="8" xr3:uid="{8F469604-AD1B-423C-8C1F-BC6B06B1C658}" name="Not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2B9177-48D4-4C10-9542-76CC6614D1E2}" name="Table9" displayName="Table9" ref="A66:J76" totalsRowShown="0" headerRowDxfId="11" dataDxfId="10">
  <autoFilter ref="A66:J76" xr:uid="{7E2B9177-48D4-4C10-9542-76CC6614D1E2}"/>
  <tableColumns count="10">
    <tableColumn id="1" xr3:uid="{72C02A87-9A9B-4B8A-9406-A1D223702276}" name="Model" dataDxfId="9"/>
    <tableColumn id="2" xr3:uid="{E92F1ED6-995D-4F51-B214-3DBEA00E7C49}" name="Mean n-alkane" dataDxfId="8"/>
    <tableColumn id="3" xr3:uid="{5AEB0BC5-4A2A-4226-AF50-D48DC58E0EB9}" name="Max n-alkane" dataDxfId="7"/>
    <tableColumn id="4" xr3:uid="{D75C76F6-21B6-4DF8-9AA2-CD4BFCDEC716}" name="Max substance" dataDxfId="6"/>
    <tableColumn id="5" xr3:uid="{028B1B86-5645-4A77-9CF4-2D18131B00F8}" name="Mean branched" dataDxfId="5"/>
    <tableColumn id="6" xr3:uid="{F37B7491-7D49-43A9-AF17-88F616DF0DD3}" name="Max branched" dataDxfId="4"/>
    <tableColumn id="7" xr3:uid="{6828CE9C-E146-4848-85C3-F7B6624D6065}" name="Max substance2" dataDxfId="3"/>
    <tableColumn id="8" xr3:uid="{9E368729-8E78-42A9-B5CE-DB2C514418AF}" name="Mean all2" dataDxfId="2"/>
    <tableColumn id="9" xr3:uid="{6D0A5EFE-3DF0-4FE5-BF7E-409E12E1AEBA}" name="Max no 2,6,10,14" dataDxfId="1"/>
    <tableColumn id="10" xr3:uid="{EA1D5230-DD69-46A1-9E86-EFA136F46FF7}" name="Mean all4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6" Type="http://schemas.openxmlformats.org/officeDocument/2006/relationships/table" Target="../tables/table15.xml"/><Relationship Id="rId5" Type="http://schemas.openxmlformats.org/officeDocument/2006/relationships/table" Target="../tables/table14.xml"/><Relationship Id="rId4" Type="http://schemas.openxmlformats.org/officeDocument/2006/relationships/table" Target="../tables/table1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F66BB-7BFD-4058-B899-8DBF33357212}">
  <dimension ref="A1:M53"/>
  <sheetViews>
    <sheetView zoomScale="87" zoomScaleNormal="85" workbookViewId="0">
      <selection activeCell="B50" sqref="B50"/>
    </sheetView>
  </sheetViews>
  <sheetFormatPr defaultRowHeight="14.5" x14ac:dyDescent="0.35"/>
  <cols>
    <col min="1" max="1" width="20.26953125" bestFit="1" customWidth="1"/>
    <col min="2" max="2" width="20.26953125" customWidth="1"/>
    <col min="3" max="3" width="18.1796875" bestFit="1" customWidth="1"/>
    <col min="4" max="4" width="13" bestFit="1" customWidth="1"/>
    <col min="5" max="5" width="12.36328125" bestFit="1" customWidth="1"/>
    <col min="6" max="6" width="11.54296875" bestFit="1" customWidth="1"/>
    <col min="7" max="7" width="37.6328125" bestFit="1" customWidth="1"/>
    <col min="8" max="9" width="12.36328125" bestFit="1" customWidth="1"/>
    <col min="10" max="10" width="9.6328125" customWidth="1"/>
    <col min="11" max="11" width="8.453125" customWidth="1"/>
  </cols>
  <sheetData>
    <row r="1" spans="1:9" x14ac:dyDescent="0.35">
      <c r="A1" t="s">
        <v>2</v>
      </c>
      <c r="B1" t="s">
        <v>43</v>
      </c>
      <c r="C1" t="s">
        <v>3</v>
      </c>
      <c r="D1" t="s">
        <v>27</v>
      </c>
      <c r="E1" t="s">
        <v>28</v>
      </c>
      <c r="F1" t="s">
        <v>4</v>
      </c>
      <c r="G1" t="s">
        <v>18</v>
      </c>
      <c r="H1" t="s">
        <v>41</v>
      </c>
      <c r="I1" t="s">
        <v>42</v>
      </c>
    </row>
    <row r="2" spans="1:9" x14ac:dyDescent="0.35">
      <c r="A2" t="s">
        <v>0</v>
      </c>
      <c r="B2" t="s">
        <v>44</v>
      </c>
      <c r="C2" t="s">
        <v>1</v>
      </c>
      <c r="D2">
        <v>0.47619299999999998</v>
      </c>
    </row>
    <row r="3" spans="1:9" x14ac:dyDescent="0.35">
      <c r="A3" t="s">
        <v>5</v>
      </c>
      <c r="B3" t="s">
        <v>44</v>
      </c>
      <c r="C3" t="s">
        <v>6</v>
      </c>
      <c r="D3">
        <v>0.484458</v>
      </c>
      <c r="E3">
        <v>4.7793000000000002E-2</v>
      </c>
      <c r="G3" t="s">
        <v>20</v>
      </c>
    </row>
    <row r="4" spans="1:9" x14ac:dyDescent="0.35">
      <c r="A4" t="s">
        <v>5</v>
      </c>
      <c r="B4" t="s">
        <v>44</v>
      </c>
      <c r="C4" t="s">
        <v>6</v>
      </c>
      <c r="D4">
        <v>0.48334700000000003</v>
      </c>
      <c r="E4">
        <v>4.7972399999999998E-2</v>
      </c>
      <c r="G4" t="s">
        <v>19</v>
      </c>
    </row>
    <row r="5" spans="1:9" x14ac:dyDescent="0.35">
      <c r="A5" t="s">
        <v>5</v>
      </c>
      <c r="B5" t="s">
        <v>44</v>
      </c>
      <c r="C5" t="s">
        <v>8</v>
      </c>
      <c r="D5" t="s">
        <v>23</v>
      </c>
      <c r="E5">
        <v>4.9229000000000002E-2</v>
      </c>
      <c r="G5" t="s">
        <v>24</v>
      </c>
    </row>
    <row r="6" spans="1:9" x14ac:dyDescent="0.35">
      <c r="A6" t="s">
        <v>5</v>
      </c>
      <c r="B6" t="s">
        <v>45</v>
      </c>
      <c r="C6" t="s">
        <v>6</v>
      </c>
      <c r="D6">
        <v>0.39871800000000002</v>
      </c>
      <c r="E6">
        <v>4.0770000000000001E-2</v>
      </c>
      <c r="G6" t="s">
        <v>36</v>
      </c>
    </row>
    <row r="7" spans="1:9" x14ac:dyDescent="0.35">
      <c r="D7">
        <v>0.40577200000000002</v>
      </c>
      <c r="E7">
        <v>3.8855399999999998E-2</v>
      </c>
      <c r="G7" t="s">
        <v>39</v>
      </c>
    </row>
    <row r="8" spans="1:9" x14ac:dyDescent="0.35">
      <c r="D8">
        <v>0.4078</v>
      </c>
      <c r="E8">
        <v>3.8234999999999998E-2</v>
      </c>
      <c r="G8" t="s">
        <v>40</v>
      </c>
    </row>
    <row r="9" spans="1:9" x14ac:dyDescent="0.35">
      <c r="A9" t="s">
        <v>25</v>
      </c>
      <c r="B9" t="s">
        <v>44</v>
      </c>
      <c r="C9" t="s">
        <v>26</v>
      </c>
      <c r="D9">
        <f>1.04744/6</f>
        <v>0.17457333333333333</v>
      </c>
    </row>
    <row r="10" spans="1:9" x14ac:dyDescent="0.35">
      <c r="B10" t="s">
        <v>45</v>
      </c>
      <c r="C10" t="s">
        <v>34</v>
      </c>
      <c r="D10">
        <f>0.918721/6</f>
        <v>0.15312016666666667</v>
      </c>
      <c r="G10" t="s">
        <v>35</v>
      </c>
    </row>
    <row r="11" spans="1:9" x14ac:dyDescent="0.35">
      <c r="B11" t="s">
        <v>45</v>
      </c>
      <c r="C11" t="s">
        <v>34</v>
      </c>
      <c r="D11">
        <f>0.913806/6</f>
        <v>0.15230099999999999</v>
      </c>
      <c r="G11" t="s">
        <v>36</v>
      </c>
    </row>
    <row r="12" spans="1:9" x14ac:dyDescent="0.35">
      <c r="B12" t="s">
        <v>45</v>
      </c>
      <c r="C12" s="1" t="s">
        <v>26</v>
      </c>
      <c r="D12" s="1">
        <f>0.856098/6</f>
        <v>0.142683</v>
      </c>
      <c r="E12" s="1"/>
      <c r="F12" s="1"/>
      <c r="G12" s="1" t="s">
        <v>38</v>
      </c>
      <c r="H12" s="1">
        <v>2.785E-2</v>
      </c>
      <c r="I12" s="1">
        <v>3.7599999999999999E-3</v>
      </c>
    </row>
    <row r="13" spans="1:9" x14ac:dyDescent="0.35">
      <c r="B13" t="s">
        <v>45</v>
      </c>
      <c r="C13" t="s">
        <v>26</v>
      </c>
      <c r="D13">
        <f>0.879119/6</f>
        <v>0.14651983333333332</v>
      </c>
      <c r="G13" t="s">
        <v>39</v>
      </c>
      <c r="H13">
        <v>3.0890000000000001E-2</v>
      </c>
      <c r="I13">
        <v>1.729E-2</v>
      </c>
    </row>
    <row r="14" spans="1:9" x14ac:dyDescent="0.35">
      <c r="B14" t="s">
        <v>45</v>
      </c>
      <c r="C14" t="s">
        <v>26</v>
      </c>
      <c r="D14">
        <f>0.879427/6</f>
        <v>0.14657116666666667</v>
      </c>
      <c r="G14" t="s">
        <v>40</v>
      </c>
      <c r="H14">
        <v>2.7699999999999999E-2</v>
      </c>
      <c r="I14">
        <v>4.3670000000000002E-3</v>
      </c>
    </row>
    <row r="19" spans="1:13" x14ac:dyDescent="0.35">
      <c r="A19" s="1" t="s">
        <v>48</v>
      </c>
    </row>
    <row r="20" spans="1:13" x14ac:dyDescent="0.35">
      <c r="A20" t="s">
        <v>7</v>
      </c>
      <c r="B20" t="s">
        <v>47</v>
      </c>
      <c r="C20" t="s">
        <v>1</v>
      </c>
      <c r="D20" t="s">
        <v>8</v>
      </c>
      <c r="E20" t="s">
        <v>21</v>
      </c>
      <c r="F20" t="s">
        <v>22</v>
      </c>
      <c r="G20" t="s">
        <v>52</v>
      </c>
      <c r="H20" t="s">
        <v>9</v>
      </c>
      <c r="I20" t="s">
        <v>15</v>
      </c>
      <c r="J20" t="s">
        <v>51</v>
      </c>
      <c r="K20" t="s">
        <v>53</v>
      </c>
      <c r="L20" t="s">
        <v>16</v>
      </c>
      <c r="M20" t="s">
        <v>17</v>
      </c>
    </row>
    <row r="21" spans="1:13" x14ac:dyDescent="0.35">
      <c r="A21" t="s">
        <v>10</v>
      </c>
      <c r="C21">
        <v>2</v>
      </c>
      <c r="D21">
        <v>6</v>
      </c>
      <c r="E21">
        <f>C21*$D$3+D21*$E$3</f>
        <v>1.255674</v>
      </c>
      <c r="F21">
        <f>C21*$D$4+D21*$E$4</f>
        <v>1.2545284000000001</v>
      </c>
      <c r="G21">
        <f>Table4[[#This Row],[CH3]]*$D$2+Table4[[#This Row],[CH2]]*$E$5</f>
        <v>1.24776</v>
      </c>
      <c r="H21">
        <v>1.2615700000000001</v>
      </c>
      <c r="I21">
        <f>ABS(H21-E21)/H21*100</f>
        <v>0.46735416980430122</v>
      </c>
      <c r="J21">
        <f>ABS(H21-F21)/H21*100</f>
        <v>0.55816165571470322</v>
      </c>
      <c r="K21">
        <f>ABS(H21-G21)/H21*100</f>
        <v>1.0946677552573458</v>
      </c>
      <c r="L21">
        <v>455</v>
      </c>
    </row>
    <row r="22" spans="1:13" x14ac:dyDescent="0.35">
      <c r="A22" t="s">
        <v>11</v>
      </c>
      <c r="C22">
        <v>2</v>
      </c>
      <c r="D22">
        <v>8</v>
      </c>
      <c r="E22">
        <f>C22*$D$3+D22*$E$3</f>
        <v>1.3512599999999999</v>
      </c>
      <c r="F22">
        <f>C22*$D$4+D22*$E$4</f>
        <v>1.3504732000000002</v>
      </c>
      <c r="G22">
        <f>Table4[[#This Row],[CH3]]*$D$2+Table4[[#This Row],[CH2]]*$E$5</f>
        <v>1.3462179999999999</v>
      </c>
      <c r="H22">
        <v>1.34395</v>
      </c>
      <c r="I22">
        <f>ABS(H22-E22)/H22*100</f>
        <v>0.54391904460730889</v>
      </c>
      <c r="J22">
        <f>ABS(H22-F22)/H22*100</f>
        <v>0.48537519997024986</v>
      </c>
      <c r="K22">
        <f>ABS(H22-G22)/H22*100</f>
        <v>0.16875627813534258</v>
      </c>
      <c r="L22">
        <v>358</v>
      </c>
    </row>
    <row r="23" spans="1:13" x14ac:dyDescent="0.35">
      <c r="A23" t="s">
        <v>12</v>
      </c>
      <c r="C23">
        <v>2</v>
      </c>
      <c r="D23">
        <v>10</v>
      </c>
      <c r="E23">
        <f>C23*$D$3+D23*$E$3</f>
        <v>1.4468460000000001</v>
      </c>
      <c r="F23">
        <f>C23*$D$4+D23*$E$4</f>
        <v>1.446418</v>
      </c>
      <c r="G23">
        <f>Table4[[#This Row],[CH3]]*$D$2+Table4[[#This Row],[CH2]]*$E$5</f>
        <v>1.4446759999999998</v>
      </c>
      <c r="H23">
        <v>1.4469099999999999</v>
      </c>
      <c r="I23">
        <f>ABS(H23-E23)/H23*100</f>
        <v>4.4232191359408644E-3</v>
      </c>
      <c r="J23">
        <f>ABS(H23-F23)/H23*100</f>
        <v>3.4003497107625E-2</v>
      </c>
      <c r="K23">
        <f>ABS(H23-G23)/H23*100</f>
        <v>0.15439799296432186</v>
      </c>
      <c r="L23">
        <v>354</v>
      </c>
    </row>
    <row r="24" spans="1:13" x14ac:dyDescent="0.35">
      <c r="A24" t="s">
        <v>13</v>
      </c>
      <c r="C24">
        <v>2</v>
      </c>
      <c r="D24">
        <v>12</v>
      </c>
      <c r="E24">
        <f>C24*$D$3+D24*$E$3</f>
        <v>1.542432</v>
      </c>
      <c r="F24">
        <f>C24*$D$4+D24*$E$4</f>
        <v>1.5423628</v>
      </c>
      <c r="G24">
        <f>Table4[[#This Row],[CH3]]*$D$2+Table4[[#This Row],[CH2]]*$E$5</f>
        <v>1.543134</v>
      </c>
      <c r="H24">
        <v>1.54009</v>
      </c>
      <c r="I24">
        <f>ABS(H24-E24)/H24*100</f>
        <v>0.15206903492653456</v>
      </c>
      <c r="J24">
        <f>ABS(H24-F24)/H24*100</f>
        <v>0.14757579102520468</v>
      </c>
      <c r="K24">
        <f>ABS(H24-G24)/H24*100</f>
        <v>0.19765078664234209</v>
      </c>
      <c r="L24">
        <v>167</v>
      </c>
    </row>
    <row r="25" spans="1:13" x14ac:dyDescent="0.35">
      <c r="A25" t="s">
        <v>14</v>
      </c>
      <c r="C25">
        <v>2</v>
      </c>
      <c r="D25">
        <v>14</v>
      </c>
      <c r="E25">
        <f>C25*$D$3+D25*$E$3</f>
        <v>1.6380180000000002</v>
      </c>
      <c r="F25">
        <f>C25*$D$4+D25*$E$4</f>
        <v>1.6383076000000001</v>
      </c>
      <c r="G25">
        <f>Table4[[#This Row],[CH3]]*$D$2+Table4[[#This Row],[CH2]]*$E$5</f>
        <v>1.6415919999999999</v>
      </c>
      <c r="H25">
        <v>1.64089</v>
      </c>
      <c r="I25">
        <f>ABS(H25-E25)/H25*100</f>
        <v>0.17502696707273271</v>
      </c>
      <c r="J25">
        <f>ABS(H25-F25)/H25*100</f>
        <v>0.15737800827598886</v>
      </c>
      <c r="K25">
        <f>ABS(H25-G25)/H25*100</f>
        <v>4.278166117168003E-2</v>
      </c>
      <c r="L25">
        <v>241</v>
      </c>
    </row>
    <row r="26" spans="1:13" x14ac:dyDescent="0.35">
      <c r="I26">
        <f>AVERAGE(I21:I25)</f>
        <v>0.26855848710936364</v>
      </c>
      <c r="J26">
        <f>AVERAGE(J21:J25)</f>
        <v>0.27649883041875434</v>
      </c>
      <c r="K26">
        <f>AVERAGE(K21:K25)</f>
        <v>0.33165089483420646</v>
      </c>
    </row>
    <row r="27" spans="1:13" x14ac:dyDescent="0.35">
      <c r="A27" s="1" t="s">
        <v>49</v>
      </c>
    </row>
    <row r="28" spans="1:13" x14ac:dyDescent="0.35">
      <c r="A28" t="s">
        <v>7</v>
      </c>
      <c r="B28" t="s">
        <v>47</v>
      </c>
      <c r="C28" t="s">
        <v>1</v>
      </c>
      <c r="D28" t="s">
        <v>8</v>
      </c>
      <c r="E28" t="s">
        <v>21</v>
      </c>
      <c r="F28" t="s">
        <v>22</v>
      </c>
      <c r="G28" t="s">
        <v>9</v>
      </c>
      <c r="H28" t="s">
        <v>15</v>
      </c>
      <c r="I28" t="s">
        <v>51</v>
      </c>
      <c r="J28" t="s">
        <v>16</v>
      </c>
      <c r="K28" t="s">
        <v>17</v>
      </c>
    </row>
    <row r="29" spans="1:13" x14ac:dyDescent="0.35">
      <c r="A29" t="s">
        <v>10</v>
      </c>
      <c r="C29">
        <v>2</v>
      </c>
      <c r="D29">
        <v>6</v>
      </c>
      <c r="E29">
        <f>C29*$D$6+D29*$E$6</f>
        <v>1.0420560000000001</v>
      </c>
      <c r="F29">
        <f>C29*$D$7+D29*$E$7</f>
        <v>1.0446763999999999</v>
      </c>
      <c r="G29">
        <v>1.05199</v>
      </c>
      <c r="H29">
        <f>ABS(G29-E29)/G29*100</f>
        <v>0.94430555423529561</v>
      </c>
      <c r="I29">
        <f>ABS(G29-F29)/G29*100</f>
        <v>0.6952157339898698</v>
      </c>
    </row>
    <row r="30" spans="1:13" x14ac:dyDescent="0.35">
      <c r="A30" t="s">
        <v>11</v>
      </c>
      <c r="C30">
        <v>2</v>
      </c>
      <c r="D30">
        <v>8</v>
      </c>
      <c r="E30">
        <f>C30*$D$6+D30*$E$6</f>
        <v>1.123596</v>
      </c>
      <c r="F30">
        <f>C30*$D$7+D30*$E$7</f>
        <v>1.1223871999999999</v>
      </c>
      <c r="G30">
        <v>1.11666</v>
      </c>
      <c r="H30">
        <f>ABS(G30-E30)/G30*100</f>
        <v>0.62113803664499967</v>
      </c>
      <c r="I30">
        <f>ABS(G30-F30)/G30*100</f>
        <v>0.51288664409936169</v>
      </c>
    </row>
    <row r="31" spans="1:13" x14ac:dyDescent="0.35">
      <c r="A31" t="s">
        <v>12</v>
      </c>
      <c r="C31">
        <v>2</v>
      </c>
      <c r="D31">
        <v>10</v>
      </c>
      <c r="E31">
        <f>C31*$D$6+D31*$E$6</f>
        <v>1.205136</v>
      </c>
      <c r="F31">
        <f>C31*$D$7+D31*$E$7</f>
        <v>1.2000980000000001</v>
      </c>
      <c r="G31">
        <v>1.1997899999999999</v>
      </c>
      <c r="H31">
        <f>ABS(G31-E31)/G31*100</f>
        <v>0.44557797614583167</v>
      </c>
      <c r="I31">
        <f>ABS(G31-F31)/G31*100</f>
        <v>2.5671159119529007E-2</v>
      </c>
    </row>
    <row r="32" spans="1:13" x14ac:dyDescent="0.35">
      <c r="A32" t="s">
        <v>13</v>
      </c>
      <c r="C32">
        <v>2</v>
      </c>
      <c r="D32">
        <v>12</v>
      </c>
      <c r="E32">
        <f>C32*$D$6+D32*$E$6</f>
        <v>1.2866759999999999</v>
      </c>
      <c r="F32">
        <f>C32*$D$7+D32*$E$7</f>
        <v>1.2778088000000001</v>
      </c>
      <c r="G32">
        <v>1.2747999999999999</v>
      </c>
      <c r="H32">
        <f>ABS(G32-E32)/G32*100</f>
        <v>0.93159711327267003</v>
      </c>
      <c r="I32">
        <f>ABS(G32-F32)/G32*100</f>
        <v>0.23602133668027495</v>
      </c>
    </row>
    <row r="33" spans="1:9" x14ac:dyDescent="0.35">
      <c r="A33" t="s">
        <v>14</v>
      </c>
      <c r="C33">
        <v>2</v>
      </c>
      <c r="D33">
        <v>14</v>
      </c>
      <c r="E33">
        <f>C33*$D$6+D33*$E$6</f>
        <v>1.3682160000000001</v>
      </c>
      <c r="F33">
        <f>C33*$D$7+D33*$E$7</f>
        <v>1.3555196</v>
      </c>
      <c r="G33">
        <v>1.3586499999999999</v>
      </c>
      <c r="H33">
        <f>ABS(G33-E33)/G33*100</f>
        <v>0.70408125713025327</v>
      </c>
      <c r="I33">
        <f>ABS(G33-F33)/G33*100</f>
        <v>0.23040518161409246</v>
      </c>
    </row>
    <row r="35" spans="1:9" x14ac:dyDescent="0.35">
      <c r="H35">
        <f>(G29-D29*$G$40)/2</f>
        <v>0.41099750000000002</v>
      </c>
    </row>
    <row r="36" spans="1:9" x14ac:dyDescent="0.35">
      <c r="G36">
        <f>(G30-G29)/2</f>
        <v>3.2335000000000003E-2</v>
      </c>
      <c r="H36">
        <f>(G30-D30*$G$40)/2</f>
        <v>0.40500000000000003</v>
      </c>
    </row>
    <row r="37" spans="1:9" x14ac:dyDescent="0.35">
      <c r="G37">
        <f>(G31-G30)/2</f>
        <v>4.1564999999999963E-2</v>
      </c>
      <c r="H37">
        <f>(G31-D31*$G$40)/2</f>
        <v>0.4082325</v>
      </c>
    </row>
    <row r="38" spans="1:9" x14ac:dyDescent="0.35">
      <c r="G38">
        <f>(G32-G31)/2</f>
        <v>3.7505000000000011E-2</v>
      </c>
      <c r="H38">
        <f>(G32-D32*$G$40)/2</f>
        <v>0.40740500000000002</v>
      </c>
    </row>
    <row r="39" spans="1:9" x14ac:dyDescent="0.35">
      <c r="G39">
        <f>(G33-G32)/2</f>
        <v>4.192499999999999E-2</v>
      </c>
      <c r="H39">
        <f>(G33-D33*$G$40)/2</f>
        <v>0.41099750000000002</v>
      </c>
    </row>
    <row r="40" spans="1:9" x14ac:dyDescent="0.35">
      <c r="F40" t="s">
        <v>50</v>
      </c>
      <c r="G40">
        <f>AVERAGE(G36:G39)</f>
        <v>3.8332499999999992E-2</v>
      </c>
      <c r="H40">
        <f>AVERAGE(H35:H39)</f>
        <v>0.40852649999999996</v>
      </c>
    </row>
    <row r="41" spans="1:9" x14ac:dyDescent="0.35">
      <c r="A41" t="s">
        <v>29</v>
      </c>
      <c r="C41" t="s">
        <v>30</v>
      </c>
      <c r="D41" t="s">
        <v>31</v>
      </c>
      <c r="E41" t="s">
        <v>32</v>
      </c>
    </row>
    <row r="42" spans="1:9" x14ac:dyDescent="0.35">
      <c r="A42">
        <v>2</v>
      </c>
      <c r="C42">
        <v>0.36357600000000001</v>
      </c>
      <c r="D42">
        <v>-7.4938000000000005E-2</v>
      </c>
      <c r="E42">
        <v>5.1590000000000004E-3</v>
      </c>
    </row>
    <row r="43" spans="1:9" x14ac:dyDescent="0.35">
      <c r="A43">
        <v>3</v>
      </c>
      <c r="C43">
        <v>0.39298300000000003</v>
      </c>
      <c r="D43">
        <v>-0.16752800000000001</v>
      </c>
      <c r="E43">
        <v>3.7983999999999997E-2</v>
      </c>
    </row>
    <row r="44" spans="1:9" x14ac:dyDescent="0.35">
      <c r="A44">
        <v>4</v>
      </c>
      <c r="C44">
        <v>0.30593500000000001</v>
      </c>
      <c r="D44">
        <v>-0.12839100000000001</v>
      </c>
      <c r="E44">
        <v>2.8657999999999999E-2</v>
      </c>
    </row>
    <row r="45" spans="1:9" x14ac:dyDescent="0.35">
      <c r="A45">
        <v>5</v>
      </c>
      <c r="C45">
        <v>0.28631200000000001</v>
      </c>
      <c r="D45">
        <v>-0.11108999999999999</v>
      </c>
      <c r="E45">
        <v>2.2641999999999999E-2</v>
      </c>
    </row>
    <row r="46" spans="1:9" x14ac:dyDescent="0.35">
      <c r="A46">
        <v>6</v>
      </c>
      <c r="C46">
        <v>0.220249</v>
      </c>
      <c r="D46">
        <v>-7.0232000000000003E-2</v>
      </c>
      <c r="E46">
        <v>1.1963E-2</v>
      </c>
    </row>
    <row r="47" spans="1:9" x14ac:dyDescent="0.35">
      <c r="A47">
        <v>7</v>
      </c>
      <c r="C47">
        <v>0.30593199999999998</v>
      </c>
      <c r="D47">
        <v>-0.171762</v>
      </c>
      <c r="E47">
        <v>5.0057999999999998E-2</v>
      </c>
    </row>
    <row r="48" spans="1:9" x14ac:dyDescent="0.35">
      <c r="A48">
        <v>8</v>
      </c>
      <c r="C48">
        <v>0.297539</v>
      </c>
      <c r="D48">
        <v>-0.209949</v>
      </c>
      <c r="E48">
        <v>6.8151000000000003E-2</v>
      </c>
    </row>
    <row r="49" spans="1:5" x14ac:dyDescent="0.35">
      <c r="A49" t="s">
        <v>33</v>
      </c>
      <c r="C49">
        <f>AVERAGE(C42:C48)</f>
        <v>0.31036085714285716</v>
      </c>
      <c r="D49">
        <f>AVERAGE(D42:D48)</f>
        <v>-0.13341285714285714</v>
      </c>
      <c r="E49">
        <f>AVERAGE(E42:E48)</f>
        <v>3.2087857142857147E-2</v>
      </c>
    </row>
    <row r="50" spans="1:5" x14ac:dyDescent="0.35">
      <c r="A50" t="s">
        <v>37</v>
      </c>
      <c r="C50">
        <f>AVERAGE(C43:C48)</f>
        <v>0.30149166666666666</v>
      </c>
      <c r="D50">
        <f>AVERAGE(D43:D48)</f>
        <v>-0.14315866666666668</v>
      </c>
      <c r="E50">
        <f>AVERAGE(E43:E48)</f>
        <v>3.6575999999999997E-2</v>
      </c>
    </row>
    <row r="51" spans="1:5" x14ac:dyDescent="0.35">
      <c r="A51" t="s">
        <v>46</v>
      </c>
      <c r="C51">
        <f>AVERAGE(C43:C47)</f>
        <v>0.30228219999999995</v>
      </c>
      <c r="D51">
        <f>AVERAGE(D43:D47)</f>
        <v>-0.12980060000000002</v>
      </c>
      <c r="E51">
        <f>AVERAGE(E43:E47)</f>
        <v>3.0261E-2</v>
      </c>
    </row>
    <row r="53" spans="1:5" x14ac:dyDescent="0.35">
      <c r="C53">
        <f>AVERAGE(C43:C46)</f>
        <v>0.30136974999999999</v>
      </c>
      <c r="D53">
        <f>AVERAGE(D43:D46)</f>
        <v>-0.11931025000000002</v>
      </c>
      <c r="E53">
        <f>AVERAGE(E43:E46)</f>
        <v>2.5311749999999997E-2</v>
      </c>
    </row>
  </sheetData>
  <phoneticPr fontId="1" type="noConversion"/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9A6B0-FACC-44A1-B675-AC06C606BFF0}">
  <dimension ref="A1:D6"/>
  <sheetViews>
    <sheetView workbookViewId="0">
      <selection activeCell="D3" sqref="D3"/>
    </sheetView>
  </sheetViews>
  <sheetFormatPr defaultRowHeight="14.5" x14ac:dyDescent="0.35"/>
  <sheetData>
    <row r="1" spans="1:4" x14ac:dyDescent="0.35">
      <c r="B1" t="s">
        <v>54</v>
      </c>
      <c r="C1" t="s">
        <v>55</v>
      </c>
      <c r="D1" t="s">
        <v>56</v>
      </c>
    </row>
    <row r="2" spans="1:4" x14ac:dyDescent="0.35">
      <c r="A2" t="s">
        <v>1</v>
      </c>
      <c r="B2">
        <v>-6.1718500000000004E-3</v>
      </c>
      <c r="C2">
        <v>-0.194443</v>
      </c>
      <c r="D2">
        <v>-5.97023E-2</v>
      </c>
    </row>
    <row r="3" spans="1:4" x14ac:dyDescent="0.35">
      <c r="A3" t="s">
        <v>8</v>
      </c>
      <c r="B3">
        <v>-1.5553819999999999E-3</v>
      </c>
      <c r="C3">
        <v>-0.24406800000000001</v>
      </c>
      <c r="D3">
        <v>-5.8962099999999998E-3</v>
      </c>
    </row>
    <row r="6" spans="1:4" x14ac:dyDescent="0.35">
      <c r="B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03DBF-EF42-4695-ABFE-9E64DAD705B3}">
  <dimension ref="A1:AJ75"/>
  <sheetViews>
    <sheetView topLeftCell="D15" zoomScale="85" zoomScaleNormal="70" workbookViewId="0">
      <selection activeCell="L4" sqref="L4"/>
    </sheetView>
  </sheetViews>
  <sheetFormatPr defaultRowHeight="14.5" x14ac:dyDescent="0.35"/>
  <cols>
    <col min="1" max="1" width="17.453125" bestFit="1" customWidth="1"/>
    <col min="2" max="2" width="63.54296875" customWidth="1"/>
    <col min="3" max="3" width="21" customWidth="1"/>
    <col min="4" max="4" width="10.81640625" customWidth="1"/>
    <col min="5" max="5" width="8.81640625" bestFit="1" customWidth="1"/>
    <col min="6" max="6" width="11.54296875" bestFit="1" customWidth="1"/>
    <col min="7" max="7" width="15.81640625" customWidth="1"/>
    <col min="8" max="8" width="10.81640625" bestFit="1" customWidth="1"/>
    <col min="9" max="9" width="10.6328125" bestFit="1" customWidth="1"/>
    <col min="11" max="11" width="11.1796875" customWidth="1"/>
    <col min="15" max="15" width="14.453125" customWidth="1"/>
    <col min="16" max="16" width="12.453125" customWidth="1"/>
  </cols>
  <sheetData>
    <row r="1" spans="1:36" x14ac:dyDescent="0.35">
      <c r="A1" t="s">
        <v>2</v>
      </c>
      <c r="B1" t="s">
        <v>43</v>
      </c>
      <c r="C1" t="s">
        <v>3</v>
      </c>
      <c r="D1" t="s">
        <v>27</v>
      </c>
      <c r="E1" t="s">
        <v>28</v>
      </c>
      <c r="F1" t="s">
        <v>4</v>
      </c>
      <c r="G1" t="s">
        <v>18</v>
      </c>
      <c r="H1" t="s">
        <v>41</v>
      </c>
      <c r="I1" t="s">
        <v>42</v>
      </c>
      <c r="L1" t="s">
        <v>33</v>
      </c>
      <c r="M1" t="s">
        <v>1</v>
      </c>
      <c r="N1" t="s">
        <v>8</v>
      </c>
      <c r="O1" t="s">
        <v>65</v>
      </c>
      <c r="P1" t="s">
        <v>66</v>
      </c>
      <c r="Q1" t="s">
        <v>62</v>
      </c>
      <c r="R1" t="s">
        <v>63</v>
      </c>
      <c r="S1" t="s">
        <v>67</v>
      </c>
      <c r="U1">
        <v>4</v>
      </c>
      <c r="V1">
        <v>5</v>
      </c>
      <c r="W1">
        <v>6</v>
      </c>
      <c r="X1">
        <v>7</v>
      </c>
      <c r="Y1">
        <v>8</v>
      </c>
      <c r="Z1">
        <v>9</v>
      </c>
      <c r="AA1">
        <v>10</v>
      </c>
      <c r="AB1">
        <v>11</v>
      </c>
      <c r="AC1">
        <v>12</v>
      </c>
      <c r="AD1">
        <v>13</v>
      </c>
      <c r="AE1">
        <v>14</v>
      </c>
      <c r="AF1">
        <v>15</v>
      </c>
      <c r="AG1">
        <v>16</v>
      </c>
      <c r="AH1">
        <v>17</v>
      </c>
      <c r="AI1" t="s">
        <v>50</v>
      </c>
      <c r="AJ1" t="s">
        <v>71</v>
      </c>
    </row>
    <row r="2" spans="1:36" x14ac:dyDescent="0.35">
      <c r="A2" t="s">
        <v>25</v>
      </c>
      <c r="C2" t="s">
        <v>26</v>
      </c>
      <c r="D2">
        <f>1.11096/6</f>
        <v>0.18515999999999999</v>
      </c>
      <c r="E2">
        <v>72.964500000000001</v>
      </c>
      <c r="G2">
        <f>0.879119/6</f>
        <v>0.14651983333333332</v>
      </c>
      <c r="Q2">
        <v>2.6627476000000001E-2</v>
      </c>
      <c r="R2">
        <v>2.77759</v>
      </c>
      <c r="S2">
        <v>3.5799999999999998E-2</v>
      </c>
      <c r="U2">
        <v>3.9295957709234101E-2</v>
      </c>
      <c r="V2">
        <v>3.0319266912699799E-2</v>
      </c>
      <c r="W2">
        <v>3.6490480103860398E-2</v>
      </c>
      <c r="X2">
        <v>6.8261823758580101E-2</v>
      </c>
      <c r="Y2">
        <v>5.70017455092112E-2</v>
      </c>
      <c r="Z2">
        <v>4.2008664306779998E-2</v>
      </c>
      <c r="AA2">
        <v>2.76708742991357E-2</v>
      </c>
      <c r="AB2">
        <v>2.5964484052484599E-2</v>
      </c>
      <c r="AC2">
        <v>5.0962861333471998E-2</v>
      </c>
      <c r="AD2">
        <v>6.4454100076890106E-2</v>
      </c>
      <c r="AE2">
        <v>5.1101088362238402E-2</v>
      </c>
      <c r="AF2">
        <v>0.14985295197097201</v>
      </c>
      <c r="AG2">
        <v>9.05908410923255E-2</v>
      </c>
      <c r="AH2">
        <v>4.6642337949149501E-2</v>
      </c>
      <c r="AI2">
        <f>AVERAGE(U2:AH2)</f>
        <v>5.5758391245502394E-2</v>
      </c>
      <c r="AJ2">
        <f t="shared" ref="AJ2:AJ7" si="0">MAX(U2:AH2)</f>
        <v>0.14985295197097201</v>
      </c>
    </row>
    <row r="3" spans="1:36" x14ac:dyDescent="0.35">
      <c r="A3" t="s">
        <v>57</v>
      </c>
      <c r="C3" t="s">
        <v>58</v>
      </c>
      <c r="D3">
        <v>0.103377</v>
      </c>
      <c r="E3">
        <v>-123.288</v>
      </c>
      <c r="G3" t="s">
        <v>59</v>
      </c>
      <c r="Q3">
        <v>2.8334000000000002E-2</v>
      </c>
      <c r="R3">
        <v>2.75</v>
      </c>
      <c r="S3">
        <v>4.8500000000000001E-2</v>
      </c>
      <c r="AJ3">
        <f t="shared" si="0"/>
        <v>0</v>
      </c>
    </row>
    <row r="4" spans="1:36" x14ac:dyDescent="0.35">
      <c r="A4" t="s">
        <v>60</v>
      </c>
      <c r="C4" t="s">
        <v>9</v>
      </c>
      <c r="D4">
        <v>0.76141700000000001</v>
      </c>
      <c r="K4" t="s">
        <v>70</v>
      </c>
      <c r="L4" t="s">
        <v>64</v>
      </c>
      <c r="M4">
        <v>0.31089250000000002</v>
      </c>
      <c r="N4">
        <v>9.3024140000000002E-3</v>
      </c>
      <c r="O4">
        <v>-6.1322000000000002E-2</v>
      </c>
      <c r="P4">
        <v>-0.44629099999999999</v>
      </c>
      <c r="Q4">
        <v>2.7893000000000001E-2</v>
      </c>
      <c r="R4">
        <v>2.7532287000000002</v>
      </c>
      <c r="S4">
        <v>2.7050000000000001E-2</v>
      </c>
      <c r="AJ4">
        <f t="shared" si="0"/>
        <v>0</v>
      </c>
    </row>
    <row r="5" spans="1:36" x14ac:dyDescent="0.35">
      <c r="A5" t="s">
        <v>61</v>
      </c>
      <c r="C5" t="s">
        <v>9</v>
      </c>
      <c r="D5">
        <v>0.76133999999999991</v>
      </c>
      <c r="M5">
        <v>0.20918041342902799</v>
      </c>
      <c r="N5">
        <v>3.86457794072489E-3</v>
      </c>
      <c r="O5">
        <v>-0.17663046571746699</v>
      </c>
      <c r="P5">
        <v>-1.17274362771735</v>
      </c>
      <c r="Q5">
        <v>2.78307626172117E-2</v>
      </c>
      <c r="R5">
        <v>2.75</v>
      </c>
      <c r="S5">
        <v>2.5930000000000002E-2</v>
      </c>
      <c r="U5">
        <v>5.1124899827396597E-2</v>
      </c>
      <c r="V5">
        <v>3.7040419230902101E-2</v>
      </c>
      <c r="W5">
        <v>4.0043811695251702E-2</v>
      </c>
      <c r="X5">
        <v>5.3861221018446703E-2</v>
      </c>
      <c r="Y5">
        <v>5.5739391953762998E-2</v>
      </c>
      <c r="Z5">
        <v>5.4564257278704301E-2</v>
      </c>
      <c r="AA5">
        <v>3.7599175380684698E-2</v>
      </c>
      <c r="AB5">
        <v>3.5022058009562602E-2</v>
      </c>
      <c r="AC5">
        <v>4.3663862399276901E-2</v>
      </c>
      <c r="AD5">
        <v>2.9417789239520199E-2</v>
      </c>
      <c r="AE5">
        <v>3.1631659915169301E-2</v>
      </c>
      <c r="AF5">
        <v>3.7339093812924599E-2</v>
      </c>
      <c r="AG5">
        <v>5.6629642972582397E-2</v>
      </c>
      <c r="AH5">
        <v>4.6639521935386501E-2</v>
      </c>
      <c r="AI5">
        <f>AVERAGE(U5:AH5)</f>
        <v>4.3594057476397961E-2</v>
      </c>
      <c r="AJ5">
        <f t="shared" si="0"/>
        <v>5.6629642972582397E-2</v>
      </c>
    </row>
    <row r="6" spans="1:36" x14ac:dyDescent="0.35">
      <c r="K6" t="s">
        <v>69</v>
      </c>
      <c r="L6" t="s">
        <v>68</v>
      </c>
      <c r="M6">
        <v>0.35712235581224999</v>
      </c>
      <c r="N6">
        <v>3.02375711122677E-2</v>
      </c>
      <c r="O6">
        <v>-4.6918277081379399E-4</v>
      </c>
      <c r="P6" s="3">
        <v>5.97161659847095E-5</v>
      </c>
      <c r="Q6">
        <v>2.65046941847818E-2</v>
      </c>
      <c r="R6">
        <v>2.76745716325699</v>
      </c>
      <c r="S6">
        <v>2.5899999999999999E-2</v>
      </c>
      <c r="AJ6">
        <f t="shared" si="0"/>
        <v>0</v>
      </c>
    </row>
    <row r="7" spans="1:36" x14ac:dyDescent="0.35">
      <c r="M7">
        <v>0.37785453807361002</v>
      </c>
      <c r="N7">
        <v>3.09564212639553E-2</v>
      </c>
      <c r="O7">
        <v>-3.50602953799488E-4</v>
      </c>
      <c r="P7" s="3">
        <v>-6.2966807252791095E-5</v>
      </c>
      <c r="Q7">
        <v>2.79366574318681E-2</v>
      </c>
      <c r="R7">
        <v>2.75</v>
      </c>
      <c r="S7">
        <v>2.69E-2</v>
      </c>
      <c r="U7">
        <v>5.1234164992704799E-2</v>
      </c>
      <c r="V7">
        <v>3.8259948894821399E-2</v>
      </c>
      <c r="W7">
        <v>4.4814266376105798E-2</v>
      </c>
      <c r="X7">
        <v>6.0862975851584997E-2</v>
      </c>
      <c r="Y7">
        <v>5.48420889037015E-2</v>
      </c>
      <c r="Z7">
        <v>5.6458543047319898E-2</v>
      </c>
      <c r="AA7">
        <v>4.0734452118421499E-2</v>
      </c>
      <c r="AB7">
        <v>3.8297184725768603E-2</v>
      </c>
      <c r="AC7">
        <v>4.3852551815306499E-2</v>
      </c>
      <c r="AD7">
        <v>2.7933024296346001E-2</v>
      </c>
      <c r="AE7">
        <v>3.5049406089244999E-2</v>
      </c>
      <c r="AF7">
        <v>4.8820366633018003E-2</v>
      </c>
      <c r="AG7">
        <v>6.05345104621361E-2</v>
      </c>
      <c r="AH7">
        <v>3.8063878103366602E-2</v>
      </c>
      <c r="AI7">
        <f>AVERAGE(U7:AH7)</f>
        <v>4.5696954450703341E-2</v>
      </c>
      <c r="AJ7">
        <f t="shared" si="0"/>
        <v>6.0862975851584997E-2</v>
      </c>
    </row>
    <row r="9" spans="1:36" x14ac:dyDescent="0.35">
      <c r="K9" t="s">
        <v>72</v>
      </c>
      <c r="M9">
        <v>0.42413814</v>
      </c>
      <c r="N9">
        <v>3.9082199999999997E-2</v>
      </c>
      <c r="Q9">
        <v>2.8748114500000001E-2</v>
      </c>
      <c r="R9">
        <v>2.75</v>
      </c>
      <c r="S9">
        <v>3.32E-2</v>
      </c>
    </row>
    <row r="10" spans="1:36" x14ac:dyDescent="0.35">
      <c r="L10" t="s">
        <v>64</v>
      </c>
      <c r="M10">
        <v>0.37622299999999997</v>
      </c>
      <c r="N10">
        <v>3.7999999999999999E-2</v>
      </c>
      <c r="O10">
        <v>-2.2734600000000001E-2</v>
      </c>
      <c r="P10">
        <v>-3.2859999999999999E-3</v>
      </c>
      <c r="Q10">
        <v>2.8748114500000001E-2</v>
      </c>
      <c r="R10">
        <v>2.75</v>
      </c>
      <c r="S10">
        <v>3.1800000000000002E-2</v>
      </c>
    </row>
    <row r="11" spans="1:36" x14ac:dyDescent="0.35">
      <c r="L11" t="s">
        <v>68</v>
      </c>
      <c r="M11">
        <v>0.41625000000000001</v>
      </c>
      <c r="N11">
        <v>3.8800000000000001E-2</v>
      </c>
      <c r="O11" s="3">
        <v>-6.5531999999999995E-5</v>
      </c>
      <c r="P11" s="3">
        <v>1.84218E-13</v>
      </c>
      <c r="Q11">
        <v>2.8748114500000001E-2</v>
      </c>
      <c r="R11">
        <v>2.75</v>
      </c>
      <c r="S11">
        <v>3.1899999999999998E-2</v>
      </c>
    </row>
    <row r="12" spans="1:36" x14ac:dyDescent="0.35">
      <c r="C12" s="1"/>
      <c r="D12" s="1"/>
      <c r="E12" s="1"/>
      <c r="F12" s="1"/>
      <c r="G12" s="1"/>
      <c r="H12" s="1"/>
      <c r="I12" s="1"/>
    </row>
    <row r="13" spans="1:36" x14ac:dyDescent="0.35">
      <c r="K13" t="s">
        <v>73</v>
      </c>
      <c r="L13" t="s">
        <v>74</v>
      </c>
      <c r="M13">
        <v>0.42899999999999999</v>
      </c>
      <c r="N13">
        <v>3.5487999999999999E-2</v>
      </c>
      <c r="O13">
        <v>-2.7313E-2</v>
      </c>
      <c r="P13">
        <v>0.21613099999999999</v>
      </c>
      <c r="Q13">
        <v>2.8748114500000001E-2</v>
      </c>
      <c r="R13">
        <v>2.75</v>
      </c>
      <c r="S13">
        <v>3.1399999999999997E-2</v>
      </c>
    </row>
    <row r="15" spans="1:36" x14ac:dyDescent="0.35">
      <c r="L15" t="s">
        <v>76</v>
      </c>
      <c r="M15">
        <v>0.39981126076461199</v>
      </c>
      <c r="N15">
        <v>2.7637158407232701E-2</v>
      </c>
      <c r="O15">
        <v>4.4140152578491298E-2</v>
      </c>
      <c r="P15">
        <v>0.56586955967774</v>
      </c>
      <c r="Q15">
        <v>2.8035179305768501E-2</v>
      </c>
      <c r="R15">
        <v>2.75</v>
      </c>
      <c r="S15">
        <v>2.7699999999999999E-2</v>
      </c>
    </row>
    <row r="17" spans="1:36" x14ac:dyDescent="0.35">
      <c r="M17">
        <v>0.4194367</v>
      </c>
      <c r="N17">
        <v>3.7393999999999997E-2</v>
      </c>
      <c r="O17">
        <v>0.466559</v>
      </c>
      <c r="P17">
        <v>4.8713169000000001E-2</v>
      </c>
      <c r="Q17">
        <v>2.8479999999999998E-2</v>
      </c>
      <c r="R17">
        <v>2.75</v>
      </c>
      <c r="S17">
        <v>2.8299999999999999E-2</v>
      </c>
    </row>
    <row r="20" spans="1:36" x14ac:dyDescent="0.35">
      <c r="L20" t="s">
        <v>79</v>
      </c>
      <c r="M20">
        <v>0.41926581468005703</v>
      </c>
      <c r="N20">
        <v>3.7495827721524599E-2</v>
      </c>
      <c r="O20">
        <v>-2.8548540202457E-2</v>
      </c>
      <c r="P20">
        <v>0.50025513791170295</v>
      </c>
      <c r="Q20">
        <v>2.8487736198670999E-2</v>
      </c>
    </row>
    <row r="22" spans="1:36" x14ac:dyDescent="0.35">
      <c r="J22" t="s">
        <v>67</v>
      </c>
      <c r="L22" t="s">
        <v>1</v>
      </c>
      <c r="M22" t="s">
        <v>8</v>
      </c>
      <c r="N22" t="s">
        <v>91</v>
      </c>
      <c r="O22" t="s">
        <v>92</v>
      </c>
      <c r="P22" t="s">
        <v>30</v>
      </c>
      <c r="Q22" t="s">
        <v>31</v>
      </c>
      <c r="R22" t="s">
        <v>32</v>
      </c>
      <c r="S22" t="s">
        <v>93</v>
      </c>
    </row>
    <row r="23" spans="1:36" x14ac:dyDescent="0.35">
      <c r="J23">
        <v>8.6664800735321602E-3</v>
      </c>
      <c r="L23">
        <v>1.2912198052586501</v>
      </c>
      <c r="M23">
        <v>0.105153574728946</v>
      </c>
      <c r="N23">
        <v>0.97638674847654905</v>
      </c>
      <c r="O23">
        <v>2.07477343551728E-3</v>
      </c>
      <c r="P23">
        <v>1.8594985353409501</v>
      </c>
      <c r="Q23">
        <v>-1.12713554432355</v>
      </c>
      <c r="R23">
        <v>0.31350918607919698</v>
      </c>
      <c r="S23" t="s">
        <v>94</v>
      </c>
      <c r="U23">
        <v>0.13882229410465799</v>
      </c>
      <c r="V23">
        <v>8.8882108657780207E-2</v>
      </c>
      <c r="W23">
        <v>5.65057742571132E-2</v>
      </c>
      <c r="X23">
        <v>2.8046989555059E-2</v>
      </c>
      <c r="Y23">
        <v>4.3690120832209203E-2</v>
      </c>
      <c r="Z23">
        <v>4.0592669917591299E-2</v>
      </c>
      <c r="AA23">
        <v>3.5260866002710799E-2</v>
      </c>
      <c r="AB23">
        <v>3.1745399094285802E-2</v>
      </c>
      <c r="AC23">
        <v>4.9400400011878898E-2</v>
      </c>
      <c r="AD23">
        <v>4.8850397828610503E-2</v>
      </c>
      <c r="AE23">
        <v>4.6875567124486303E-2</v>
      </c>
      <c r="AF23">
        <v>8.2336219098482599E-2</v>
      </c>
      <c r="AG23">
        <v>8.0954798564439295E-2</v>
      </c>
      <c r="AH23">
        <v>4.0953117232746902E-2</v>
      </c>
      <c r="AI23">
        <f>AVERAGE(U23:AH23)</f>
        <v>5.8065480163003717E-2</v>
      </c>
      <c r="AJ23">
        <f>MAX(U23:AH23)</f>
        <v>0.13882229410465799</v>
      </c>
    </row>
    <row r="24" spans="1:36" x14ac:dyDescent="0.35">
      <c r="AJ24">
        <f>MAX(U24:AH24)</f>
        <v>0</v>
      </c>
    </row>
    <row r="25" spans="1:36" ht="18" x14ac:dyDescent="0.35">
      <c r="A25" s="4">
        <v>2.7830761999999998E-2</v>
      </c>
      <c r="B25">
        <v>2.75</v>
      </c>
      <c r="C25" t="s">
        <v>75</v>
      </c>
      <c r="L25">
        <v>1.73536146428132</v>
      </c>
      <c r="M25">
        <v>0.122497562837804</v>
      </c>
      <c r="N25">
        <v>7.8096022621491796</v>
      </c>
      <c r="O25">
        <v>-0.34096357773369201</v>
      </c>
      <c r="P25">
        <v>3.64497040681416</v>
      </c>
      <c r="Q25">
        <v>-3.1168273646993998</v>
      </c>
      <c r="R25">
        <v>1.0652016896496299</v>
      </c>
      <c r="S25" t="s">
        <v>95</v>
      </c>
      <c r="U25">
        <v>5.5401413135515602E-2</v>
      </c>
      <c r="V25">
        <v>3.9637876037935102E-2</v>
      </c>
      <c r="W25">
        <v>4.2600230108829303E-2</v>
      </c>
      <c r="X25">
        <v>5.1289932459919398E-2</v>
      </c>
      <c r="Y25">
        <v>5.3171169192615698E-2</v>
      </c>
      <c r="Z25">
        <v>5.2316765230738201E-2</v>
      </c>
      <c r="AA25">
        <v>3.5552269393955102E-2</v>
      </c>
      <c r="AB25">
        <v>2.9216816033929699E-2</v>
      </c>
      <c r="AC25">
        <v>3.9350285132739103E-2</v>
      </c>
      <c r="AD25">
        <v>4.0806073113417898E-2</v>
      </c>
      <c r="AE25">
        <v>4.46299858844484E-2</v>
      </c>
      <c r="AF25">
        <v>5.4961783145176399E-2</v>
      </c>
      <c r="AG25">
        <v>6.2335329558024503E-2</v>
      </c>
      <c r="AH25">
        <v>3.6440245023837699E-2</v>
      </c>
      <c r="AI25">
        <f>AVERAGE(U25:AH25)</f>
        <v>4.5550726675077279E-2</v>
      </c>
      <c r="AJ25">
        <f>MAX(U25:AH25)</f>
        <v>6.2335329558024503E-2</v>
      </c>
    </row>
    <row r="26" spans="1:36" x14ac:dyDescent="0.35">
      <c r="A26" t="s">
        <v>2</v>
      </c>
      <c r="B26" t="s">
        <v>43</v>
      </c>
      <c r="C26" t="s">
        <v>3</v>
      </c>
      <c r="D26" t="s">
        <v>27</v>
      </c>
      <c r="E26" t="s">
        <v>28</v>
      </c>
      <c r="F26" t="s">
        <v>4</v>
      </c>
      <c r="G26" t="s">
        <v>18</v>
      </c>
      <c r="H26" t="s">
        <v>41</v>
      </c>
      <c r="I26" t="s">
        <v>42</v>
      </c>
    </row>
    <row r="27" spans="1:36" x14ac:dyDescent="0.35">
      <c r="A27" t="s">
        <v>25</v>
      </c>
      <c r="C27" t="s">
        <v>26</v>
      </c>
      <c r="D27">
        <v>6.01999007087735E-4</v>
      </c>
      <c r="E27">
        <v>-249.95164112018099</v>
      </c>
      <c r="G27">
        <v>4.2659999999999998E-3</v>
      </c>
    </row>
    <row r="28" spans="1:36" x14ac:dyDescent="0.35">
      <c r="D28">
        <v>0.88788125500000004</v>
      </c>
      <c r="G28">
        <v>1.7739999999999999E-2</v>
      </c>
    </row>
    <row r="29" spans="1:36" x14ac:dyDescent="0.35">
      <c r="A29" t="s">
        <v>60</v>
      </c>
      <c r="D29">
        <v>0.76219984569010701</v>
      </c>
      <c r="G29">
        <v>2.52152020138104E-2</v>
      </c>
    </row>
    <row r="31" spans="1:36" x14ac:dyDescent="0.35">
      <c r="A31" t="s">
        <v>61</v>
      </c>
      <c r="C31" t="s">
        <v>58</v>
      </c>
      <c r="D31">
        <v>0.74675215149792995</v>
      </c>
      <c r="G31">
        <v>2.1163383343483999E-2</v>
      </c>
    </row>
    <row r="32" spans="1:36" x14ac:dyDescent="0.35">
      <c r="D32">
        <v>0.63017380584554505</v>
      </c>
      <c r="E32">
        <v>-3.2990716374660299E-2</v>
      </c>
      <c r="G32">
        <v>2.1045612252032699E-2</v>
      </c>
    </row>
    <row r="33" spans="1:36" x14ac:dyDescent="0.35">
      <c r="A33" t="s">
        <v>60</v>
      </c>
      <c r="C33" t="s">
        <v>9</v>
      </c>
      <c r="D33">
        <v>6.4449454100000002E-4</v>
      </c>
      <c r="E33">
        <v>-200.2027836</v>
      </c>
      <c r="J33">
        <v>4.0255708910872698E-2</v>
      </c>
      <c r="L33">
        <v>2.09866287580761</v>
      </c>
      <c r="M33">
        <v>0.18253435679428101</v>
      </c>
      <c r="P33">
        <v>4.9312114473935598</v>
      </c>
      <c r="Q33">
        <v>-4.3803644866073297</v>
      </c>
      <c r="R33">
        <v>1.5692761444493599</v>
      </c>
      <c r="S33" t="s">
        <v>96</v>
      </c>
      <c r="U33">
        <v>7.9232421605776607E-2</v>
      </c>
      <c r="V33">
        <v>3.7243363873586302E-2</v>
      </c>
      <c r="W33">
        <v>2.95582241269002E-2</v>
      </c>
      <c r="X33">
        <v>5.1410013768431698E-2</v>
      </c>
      <c r="Y33">
        <v>4.71942381303962E-2</v>
      </c>
      <c r="Z33">
        <v>4.4741514161908302E-2</v>
      </c>
      <c r="AA33">
        <v>2.9367000480655301E-2</v>
      </c>
      <c r="AB33">
        <v>2.6902737767150301E-2</v>
      </c>
      <c r="AC33">
        <v>4.7749430375992601E-2</v>
      </c>
      <c r="AD33">
        <v>5.1278538706461999E-2</v>
      </c>
      <c r="AE33">
        <v>5.6652553401637801E-2</v>
      </c>
      <c r="AF33">
        <v>7.2142177547272798E-2</v>
      </c>
      <c r="AG33">
        <v>8.0250496748239794E-2</v>
      </c>
      <c r="AH33">
        <v>4.4707826414071401E-2</v>
      </c>
      <c r="AI33">
        <f>AVERAGE(U33:AH33)</f>
        <v>4.9887895507748671E-2</v>
      </c>
      <c r="AJ33">
        <f>MAX(U33:AH33)</f>
        <v>8.0250496748239794E-2</v>
      </c>
    </row>
    <row r="34" spans="1:36" x14ac:dyDescent="0.35">
      <c r="A34" t="s">
        <v>61</v>
      </c>
      <c r="C34" t="s">
        <v>9</v>
      </c>
      <c r="L34" t="s">
        <v>1</v>
      </c>
      <c r="M34" t="s">
        <v>8</v>
      </c>
      <c r="N34" t="s">
        <v>87</v>
      </c>
      <c r="P34" t="s">
        <v>30</v>
      </c>
      <c r="Q34" t="s">
        <v>31</v>
      </c>
      <c r="R34" t="s">
        <v>32</v>
      </c>
      <c r="S34" t="s">
        <v>98</v>
      </c>
    </row>
    <row r="35" spans="1:36" x14ac:dyDescent="0.35">
      <c r="J35">
        <v>3.89870962889153E-2</v>
      </c>
      <c r="K35" s="1" t="s">
        <v>97</v>
      </c>
      <c r="L35">
        <v>1.8638835365906199</v>
      </c>
      <c r="M35">
        <v>0.16581498957496801</v>
      </c>
      <c r="N35">
        <v>-0.48046352062154102</v>
      </c>
      <c r="P35">
        <v>4.5741858969398201</v>
      </c>
      <c r="Q35">
        <v>-4.1011461435979397</v>
      </c>
      <c r="R35">
        <v>1.4584557010947901</v>
      </c>
      <c r="S35" t="s">
        <v>99</v>
      </c>
      <c r="U35">
        <v>8.9936189601827796E-2</v>
      </c>
      <c r="V35">
        <v>4.0476937366221703E-2</v>
      </c>
      <c r="W35">
        <v>3.2468215084719601E-2</v>
      </c>
      <c r="X35">
        <v>5.5544571184050998E-2</v>
      </c>
      <c r="Y35">
        <v>4.7486349684181202E-2</v>
      </c>
      <c r="Z35">
        <v>4.7673347285440003E-2</v>
      </c>
      <c r="AA35">
        <v>2.73687819171811E-2</v>
      </c>
      <c r="AB35">
        <v>2.5837726323641199E-2</v>
      </c>
      <c r="AC35">
        <v>4.3817045294411501E-2</v>
      </c>
      <c r="AD35">
        <v>5.1283690290308499E-2</v>
      </c>
      <c r="AE35">
        <v>5.86790797149584E-2</v>
      </c>
      <c r="AF35">
        <v>7.1596047615446898E-2</v>
      </c>
      <c r="AG35">
        <v>7.9554823799804303E-2</v>
      </c>
      <c r="AH35">
        <v>4.8203858776284497E-2</v>
      </c>
      <c r="AI35">
        <f>AVERAGE(U35:AH35)</f>
        <v>5.1423333138462694E-2</v>
      </c>
      <c r="AJ35">
        <f>MAX(U35:AH35)</f>
        <v>8.9936189601827796E-2</v>
      </c>
    </row>
    <row r="37" spans="1:36" x14ac:dyDescent="0.35">
      <c r="J37">
        <v>3.7520748444016698E-2</v>
      </c>
      <c r="L37">
        <v>0.989594327694723</v>
      </c>
      <c r="M37">
        <v>8.5130871844569703E-2</v>
      </c>
      <c r="P37">
        <v>-1.5490846097348201</v>
      </c>
      <c r="Q37">
        <v>3.76231558049522</v>
      </c>
      <c r="R37">
        <v>-1.84821482870778</v>
      </c>
      <c r="S37">
        <v>0.3213353087736</v>
      </c>
      <c r="U37">
        <v>8.5661474764733306E-2</v>
      </c>
      <c r="V37">
        <v>3.6551373174108101E-2</v>
      </c>
      <c r="W37">
        <v>3.2103521519558698E-2</v>
      </c>
      <c r="X37">
        <v>5.46457060890723E-2</v>
      </c>
      <c r="Y37">
        <v>4.6119407290820098E-2</v>
      </c>
      <c r="Z37">
        <v>4.6077557881249197E-2</v>
      </c>
      <c r="AA37">
        <v>2.6392124861984001E-2</v>
      </c>
      <c r="AB37">
        <v>2.4994157643032502E-2</v>
      </c>
      <c r="AC37">
        <v>4.1706500583473798E-2</v>
      </c>
      <c r="AD37">
        <v>5.1836528398500503E-2</v>
      </c>
      <c r="AE37">
        <v>5.8441655937159102E-2</v>
      </c>
      <c r="AF37">
        <v>7.1863141545323597E-2</v>
      </c>
      <c r="AG37">
        <v>7.8931333284229493E-2</v>
      </c>
      <c r="AH37">
        <v>4.5280566074442502E-2</v>
      </c>
      <c r="AI37">
        <f>AVERAGE(U37:AH37)</f>
        <v>5.0043217789120513E-2</v>
      </c>
      <c r="AJ37">
        <f>MAX(U37:AH37)</f>
        <v>8.5661474764733306E-2</v>
      </c>
    </row>
    <row r="38" spans="1:36" x14ac:dyDescent="0.35">
      <c r="C38" s="1"/>
      <c r="D38" s="1"/>
      <c r="E38" s="1"/>
      <c r="F38" s="1"/>
      <c r="G38" s="1"/>
      <c r="H38" s="1"/>
      <c r="I38" s="1"/>
    </row>
    <row r="42" spans="1:36" x14ac:dyDescent="0.35">
      <c r="L42" t="s">
        <v>1</v>
      </c>
      <c r="M42" t="s">
        <v>8</v>
      </c>
      <c r="N42" t="s">
        <v>100</v>
      </c>
      <c r="P42" t="s">
        <v>30</v>
      </c>
      <c r="Q42" t="s">
        <v>31</v>
      </c>
      <c r="R42" t="s">
        <v>32</v>
      </c>
    </row>
    <row r="43" spans="1:36" x14ac:dyDescent="0.35">
      <c r="J43">
        <v>2.72606803189747E-2</v>
      </c>
      <c r="K43" s="5" t="s">
        <v>102</v>
      </c>
      <c r="L43">
        <v>0.50759338061038195</v>
      </c>
      <c r="M43">
        <v>4.6243804764304397E-2</v>
      </c>
      <c r="N43">
        <v>1.3016771263302001</v>
      </c>
      <c r="P43">
        <v>2.5440604555794399</v>
      </c>
      <c r="Q43">
        <v>-1.92668179653528</v>
      </c>
      <c r="R43">
        <v>0.59210973823463997</v>
      </c>
      <c r="U43">
        <v>5.0661355062223599E-2</v>
      </c>
      <c r="V43">
        <v>3.7598961922698897E-2</v>
      </c>
      <c r="W43">
        <v>3.9199152941822198E-2</v>
      </c>
      <c r="X43">
        <v>4.62344981307636E-2</v>
      </c>
      <c r="Y43">
        <v>5.5398284580927597E-2</v>
      </c>
      <c r="Z43">
        <v>5.3973297894156898E-2</v>
      </c>
      <c r="AA43">
        <v>3.5868981542491699E-2</v>
      </c>
      <c r="AB43">
        <v>3.0051497756079602E-2</v>
      </c>
      <c r="AC43">
        <v>4.40439956814766E-2</v>
      </c>
      <c r="AD43">
        <v>3.7386341742897802E-2</v>
      </c>
      <c r="AE43">
        <v>3.1701056031304298E-2</v>
      </c>
      <c r="AF43">
        <v>3.2596088296926E-2</v>
      </c>
      <c r="AG43">
        <v>5.5501385642346301E-2</v>
      </c>
      <c r="AH43">
        <v>6.8996382393689507E-2</v>
      </c>
      <c r="AI43">
        <f>AVERAGE(U43:AH43)</f>
        <v>4.4229377115700338E-2</v>
      </c>
      <c r="AJ43">
        <f>MAX(U43:AH43)</f>
        <v>6.8996382393689507E-2</v>
      </c>
    </row>
    <row r="44" spans="1:36" x14ac:dyDescent="0.35">
      <c r="A44">
        <v>0.2848</v>
      </c>
      <c r="B44">
        <v>2.75</v>
      </c>
      <c r="C44" t="s">
        <v>77</v>
      </c>
    </row>
    <row r="45" spans="1:36" x14ac:dyDescent="0.35">
      <c r="A45" t="s">
        <v>2</v>
      </c>
      <c r="B45" t="s">
        <v>43</v>
      </c>
      <c r="C45" t="s">
        <v>3</v>
      </c>
      <c r="D45" t="s">
        <v>27</v>
      </c>
      <c r="E45" t="s">
        <v>78</v>
      </c>
      <c r="F45" t="s">
        <v>4</v>
      </c>
      <c r="G45" t="s">
        <v>18</v>
      </c>
      <c r="H45" t="s">
        <v>41</v>
      </c>
      <c r="I45" t="s">
        <v>42</v>
      </c>
    </row>
    <row r="46" spans="1:36" x14ac:dyDescent="0.35">
      <c r="C46" t="s">
        <v>1</v>
      </c>
    </row>
    <row r="47" spans="1:36" x14ac:dyDescent="0.35">
      <c r="J47">
        <v>2.7024463324815302E-2</v>
      </c>
      <c r="K47" t="s">
        <v>102</v>
      </c>
      <c r="L47" t="s">
        <v>1</v>
      </c>
      <c r="M47" t="s">
        <v>8</v>
      </c>
      <c r="N47" t="s">
        <v>120</v>
      </c>
      <c r="O47" t="s">
        <v>121</v>
      </c>
      <c r="P47" t="s">
        <v>30</v>
      </c>
      <c r="Q47" t="s">
        <v>31</v>
      </c>
      <c r="R47" t="s">
        <v>32</v>
      </c>
    </row>
    <row r="48" spans="1:36" x14ac:dyDescent="0.35">
      <c r="L48">
        <v>0.60676895694566602</v>
      </c>
      <c r="M48">
        <v>6.47119131236987E-2</v>
      </c>
      <c r="N48" s="6">
        <v>1.2217854617291399</v>
      </c>
      <c r="O48" s="6">
        <v>1.3287119816677699</v>
      </c>
      <c r="P48" s="6">
        <v>3.7381831539582602</v>
      </c>
      <c r="Q48" s="6">
        <v>-3.2063341251699402</v>
      </c>
      <c r="R48" s="6">
        <v>1.0682318039518699</v>
      </c>
      <c r="U48">
        <v>5.9275974544997702E-2</v>
      </c>
      <c r="V48">
        <v>3.7185077425578403E-2</v>
      </c>
      <c r="W48">
        <v>3.5639889185220298E-2</v>
      </c>
      <c r="X48">
        <v>4.6642855453321301E-2</v>
      </c>
      <c r="Y48">
        <v>5.6095139544776698E-2</v>
      </c>
      <c r="Z48">
        <v>5.5650243953877902E-2</v>
      </c>
      <c r="AA48">
        <v>3.7636565389148502E-2</v>
      </c>
      <c r="AB48">
        <v>3.3106333511751601E-2</v>
      </c>
      <c r="AC48">
        <v>4.4462869317971797E-2</v>
      </c>
      <c r="AD48">
        <v>3.6313350708495E-2</v>
      </c>
      <c r="AE48">
        <v>3.2030084469889399E-2</v>
      </c>
      <c r="AF48">
        <v>3.36037256350517E-2</v>
      </c>
      <c r="AG48">
        <v>5.6057352407490199E-2</v>
      </c>
      <c r="AH48">
        <v>6.2906317147923801E-2</v>
      </c>
      <c r="AI48">
        <f>AVERAGE(U48:AH48)</f>
        <v>4.4757555621106733E-2</v>
      </c>
      <c r="AJ48">
        <f>MAX(U48:AH48)</f>
        <v>6.2906317147923801E-2</v>
      </c>
    </row>
    <row r="49" spans="1:18" x14ac:dyDescent="0.35">
      <c r="A49" t="s">
        <v>25</v>
      </c>
      <c r="C49" t="s">
        <v>26</v>
      </c>
    </row>
    <row r="51" spans="1:18" x14ac:dyDescent="0.35">
      <c r="A51" t="s">
        <v>60</v>
      </c>
      <c r="D51">
        <v>0.774571519272511</v>
      </c>
      <c r="E51">
        <v>1.50459391376</v>
      </c>
    </row>
    <row r="53" spans="1:18" x14ac:dyDescent="0.35">
      <c r="A53" t="s">
        <v>61</v>
      </c>
      <c r="C53" t="s">
        <v>58</v>
      </c>
    </row>
    <row r="55" spans="1:18" x14ac:dyDescent="0.35">
      <c r="A55" t="s">
        <v>60</v>
      </c>
      <c r="C55" t="s">
        <v>9</v>
      </c>
    </row>
    <row r="56" spans="1:18" x14ac:dyDescent="0.35">
      <c r="A56" t="s">
        <v>61</v>
      </c>
      <c r="C56" t="s">
        <v>9</v>
      </c>
      <c r="J56">
        <v>3.0345132672149899E-2</v>
      </c>
      <c r="K56" t="s">
        <v>125</v>
      </c>
      <c r="L56" t="s">
        <v>1</v>
      </c>
      <c r="M56" t="s">
        <v>8</v>
      </c>
      <c r="N56" t="s">
        <v>120</v>
      </c>
      <c r="O56" t="s">
        <v>121</v>
      </c>
      <c r="P56" t="s">
        <v>30</v>
      </c>
      <c r="Q56" t="s">
        <v>31</v>
      </c>
      <c r="R56" t="s">
        <v>32</v>
      </c>
    </row>
    <row r="57" spans="1:18" x14ac:dyDescent="0.35">
      <c r="L57">
        <v>0.42378996509501299</v>
      </c>
      <c r="M57">
        <v>3.3404761023304898E-2</v>
      </c>
      <c r="N57">
        <v>0.94104690943638802</v>
      </c>
      <c r="O57">
        <v>1.0598416765590299</v>
      </c>
      <c r="P57">
        <v>7.3506986809024104</v>
      </c>
      <c r="Q57">
        <v>-7.9990722369503002</v>
      </c>
      <c r="R57">
        <v>3.1165905432360099</v>
      </c>
    </row>
    <row r="60" spans="1:18" x14ac:dyDescent="0.35">
      <c r="C60" s="1"/>
      <c r="D60" s="1"/>
      <c r="E60" s="1"/>
      <c r="F60" s="1"/>
      <c r="G60" s="1"/>
      <c r="H60" s="1"/>
      <c r="I60" s="1"/>
    </row>
    <row r="68" spans="1:9" x14ac:dyDescent="0.35">
      <c r="A68" t="s">
        <v>12</v>
      </c>
      <c r="B68" s="5" t="s">
        <v>80</v>
      </c>
      <c r="E68" s="5" t="s">
        <v>81</v>
      </c>
      <c r="F68" s="5">
        <v>-1.1011873999999999</v>
      </c>
      <c r="G68">
        <v>-0.88103719599999997</v>
      </c>
    </row>
    <row r="69" spans="1:9" x14ac:dyDescent="0.35">
      <c r="A69" t="s">
        <v>11</v>
      </c>
      <c r="B69" s="5" t="s">
        <v>83</v>
      </c>
      <c r="E69" s="5"/>
      <c r="F69" s="5">
        <v>-0.83745220834717504</v>
      </c>
      <c r="G69">
        <v>-0.80838135</v>
      </c>
    </row>
    <row r="70" spans="1:9" x14ac:dyDescent="0.35">
      <c r="A70" t="s">
        <v>10</v>
      </c>
      <c r="B70" t="s">
        <v>82</v>
      </c>
      <c r="F70">
        <v>-0.76947469414722003</v>
      </c>
      <c r="G70">
        <v>-0.83552811599999999</v>
      </c>
      <c r="H70">
        <f>0.5*(G68-G70)</f>
        <v>-2.275453999999999E-2</v>
      </c>
    </row>
    <row r="71" spans="1:9" x14ac:dyDescent="0.35">
      <c r="A71" t="s">
        <v>84</v>
      </c>
      <c r="B71" t="s">
        <v>85</v>
      </c>
      <c r="F71">
        <v>-0.603827400858999</v>
      </c>
      <c r="G71">
        <v>-0.81929300000000005</v>
      </c>
      <c r="H71">
        <f>G70-G71</f>
        <v>-1.6235115999999938E-2</v>
      </c>
    </row>
    <row r="72" spans="1:9" x14ac:dyDescent="0.35">
      <c r="G72">
        <f>AVERAGE(G68:G71)</f>
        <v>-0.83605991550000003</v>
      </c>
    </row>
    <row r="74" spans="1:9" x14ac:dyDescent="0.35">
      <c r="A74" t="s">
        <v>47</v>
      </c>
      <c r="B74" t="s">
        <v>87</v>
      </c>
      <c r="C74" t="s">
        <v>30</v>
      </c>
      <c r="D74" t="s">
        <v>31</v>
      </c>
      <c r="E74" t="s">
        <v>32</v>
      </c>
      <c r="F74" t="s">
        <v>88</v>
      </c>
      <c r="G74" t="s">
        <v>89</v>
      </c>
      <c r="H74" t="s">
        <v>90</v>
      </c>
      <c r="I74" t="s">
        <v>67</v>
      </c>
    </row>
    <row r="75" spans="1:9" x14ac:dyDescent="0.35">
      <c r="A75" t="s">
        <v>86</v>
      </c>
      <c r="B75">
        <v>-0.29010000000000002</v>
      </c>
      <c r="C75">
        <v>0.61980000000000002</v>
      </c>
      <c r="D75">
        <v>-0.355485</v>
      </c>
      <c r="E75">
        <v>3.1904000000000002E-2</v>
      </c>
      <c r="F75">
        <v>1.7689999999999999</v>
      </c>
      <c r="G75">
        <v>2.1040000000000001</v>
      </c>
      <c r="H75">
        <v>2.6476000000000002</v>
      </c>
      <c r="I75">
        <v>2.0000000000000001E-4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7503E-4AB5-4806-B500-40D08E4E017C}">
  <dimension ref="A1:J16"/>
  <sheetViews>
    <sheetView zoomScale="71" zoomScaleNormal="85" workbookViewId="0">
      <selection activeCell="E15" sqref="E15"/>
    </sheetView>
  </sheetViews>
  <sheetFormatPr defaultRowHeight="14.5" x14ac:dyDescent="0.35"/>
  <cols>
    <col min="1" max="1" width="20.54296875" customWidth="1"/>
    <col min="2" max="8" width="10.54296875" customWidth="1"/>
  </cols>
  <sheetData>
    <row r="1" spans="1:10" x14ac:dyDescent="0.35">
      <c r="A1" t="s">
        <v>132</v>
      </c>
    </row>
    <row r="2" spans="1:10" x14ac:dyDescent="0.35">
      <c r="A2" t="s">
        <v>150</v>
      </c>
      <c r="B2" t="s">
        <v>91</v>
      </c>
      <c r="C2" t="s">
        <v>92</v>
      </c>
      <c r="D2" t="s">
        <v>87</v>
      </c>
      <c r="E2" t="s">
        <v>101</v>
      </c>
      <c r="F2" t="s">
        <v>109</v>
      </c>
      <c r="G2" t="s">
        <v>158</v>
      </c>
      <c r="H2" t="s">
        <v>100</v>
      </c>
      <c r="I2" t="s">
        <v>67</v>
      </c>
      <c r="J2" t="s">
        <v>18</v>
      </c>
    </row>
    <row r="3" spans="1:10" x14ac:dyDescent="0.35">
      <c r="A3" t="s">
        <v>1</v>
      </c>
      <c r="B3">
        <v>-1.6248943376292801E-2</v>
      </c>
      <c r="C3">
        <v>-1.3011652916219401</v>
      </c>
      <c r="D3">
        <v>-13.215313775983001</v>
      </c>
      <c r="E3">
        <v>-7.1760857825615698</v>
      </c>
      <c r="F3">
        <v>0.93985986964442902</v>
      </c>
      <c r="G3">
        <v>0.82396485082091697</v>
      </c>
      <c r="H3">
        <v>0.43779367539928998</v>
      </c>
      <c r="I3">
        <v>1.7000000000000001E-2</v>
      </c>
    </row>
    <row r="4" spans="1:10" x14ac:dyDescent="0.35">
      <c r="A4" t="s">
        <v>8</v>
      </c>
      <c r="B4" s="3">
        <v>2.9301076673254E-4</v>
      </c>
      <c r="C4">
        <v>-1.0119176576567599</v>
      </c>
      <c r="D4">
        <v>-2.9913861277034002</v>
      </c>
      <c r="F4">
        <v>0.60518356357517</v>
      </c>
      <c r="G4">
        <v>0.58185101045482701</v>
      </c>
    </row>
    <row r="5" spans="1:10" x14ac:dyDescent="0.35">
      <c r="A5" t="s">
        <v>103</v>
      </c>
      <c r="B5">
        <v>4.2101628498088899E-2</v>
      </c>
      <c r="C5">
        <v>-1.40772602144863</v>
      </c>
      <c r="D5">
        <v>11.030831328258</v>
      </c>
      <c r="F5">
        <v>0.61229685812720203</v>
      </c>
      <c r="G5">
        <v>0.80523397527696905</v>
      </c>
      <c r="I5">
        <v>8.7999999999999995E-2</v>
      </c>
      <c r="J5" t="s">
        <v>154</v>
      </c>
    </row>
    <row r="6" spans="1:10" x14ac:dyDescent="0.35">
      <c r="A6" t="s">
        <v>87</v>
      </c>
    </row>
    <row r="7" spans="1:10" x14ac:dyDescent="0.35">
      <c r="A7" t="s">
        <v>103</v>
      </c>
    </row>
    <row r="8" spans="1:10" x14ac:dyDescent="0.35">
      <c r="A8" t="s">
        <v>87</v>
      </c>
    </row>
    <row r="11" spans="1:10" x14ac:dyDescent="0.35">
      <c r="A11" t="s">
        <v>47</v>
      </c>
      <c r="B11" t="s">
        <v>161</v>
      </c>
      <c r="C11" t="s">
        <v>162</v>
      </c>
      <c r="D11" t="s">
        <v>163</v>
      </c>
      <c r="E11" t="s">
        <v>164</v>
      </c>
      <c r="F11" t="s">
        <v>104</v>
      </c>
      <c r="G11" t="s">
        <v>133</v>
      </c>
      <c r="H11" t="s">
        <v>165</v>
      </c>
    </row>
    <row r="12" spans="1:10" x14ac:dyDescent="0.35">
      <c r="A12" t="s">
        <v>29</v>
      </c>
      <c r="E12">
        <v>0.91953841818702597</v>
      </c>
    </row>
    <row r="13" spans="1:10" x14ac:dyDescent="0.35">
      <c r="A13" s="7" t="s">
        <v>1</v>
      </c>
      <c r="E13">
        <v>0.61019313498625705</v>
      </c>
    </row>
    <row r="14" spans="1:10" x14ac:dyDescent="0.35">
      <c r="A14" s="8" t="s">
        <v>8</v>
      </c>
      <c r="E14">
        <v>0.66244615619828295</v>
      </c>
    </row>
    <row r="15" spans="1:10" x14ac:dyDescent="0.35">
      <c r="A15" s="7" t="s">
        <v>103</v>
      </c>
    </row>
    <row r="16" spans="1:10" x14ac:dyDescent="0.35">
      <c r="A16" t="s">
        <v>67</v>
      </c>
      <c r="E16">
        <v>0.15035661720444099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350DB-0812-4A65-9006-709823148C8F}">
  <dimension ref="A1:AG55"/>
  <sheetViews>
    <sheetView topLeftCell="A36" zoomScale="85" zoomScaleNormal="85" workbookViewId="0">
      <selection activeCell="I23" sqref="I23"/>
    </sheetView>
  </sheetViews>
  <sheetFormatPr defaultRowHeight="14.5" x14ac:dyDescent="0.35"/>
  <cols>
    <col min="1" max="1" width="11.90625" customWidth="1"/>
    <col min="2" max="2" width="25.90625" customWidth="1"/>
    <col min="3" max="3" width="8.81640625" bestFit="1" customWidth="1"/>
    <col min="4" max="5" width="9" customWidth="1"/>
    <col min="6" max="10" width="8.81640625" bestFit="1" customWidth="1"/>
    <col min="12" max="12" width="8.81640625" bestFit="1" customWidth="1"/>
    <col min="15" max="15" width="8.81640625" bestFit="1" customWidth="1"/>
    <col min="16" max="16" width="9.1796875" bestFit="1" customWidth="1"/>
    <col min="17" max="17" width="8.81640625" bestFit="1" customWidth="1"/>
    <col min="27" max="27" width="15.26953125" customWidth="1"/>
  </cols>
  <sheetData>
    <row r="1" spans="1:33" x14ac:dyDescent="0.35">
      <c r="A1" t="s">
        <v>148</v>
      </c>
      <c r="B1" t="s">
        <v>91</v>
      </c>
      <c r="C1" t="s">
        <v>92</v>
      </c>
      <c r="D1" t="s">
        <v>87</v>
      </c>
      <c r="E1" t="s">
        <v>100</v>
      </c>
      <c r="F1" t="s">
        <v>101</v>
      </c>
      <c r="G1" t="s">
        <v>67</v>
      </c>
      <c r="H1" t="s">
        <v>104</v>
      </c>
      <c r="K1" s="9" t="s">
        <v>147</v>
      </c>
    </row>
    <row r="2" spans="1:33" x14ac:dyDescent="0.35">
      <c r="A2" t="s">
        <v>1</v>
      </c>
      <c r="B2">
        <v>-1.52941746E-2</v>
      </c>
      <c r="C2">
        <v>-0.26365184000000003</v>
      </c>
      <c r="D2">
        <v>-0.93387710800000001</v>
      </c>
      <c r="E2">
        <v>0.41722646000000002</v>
      </c>
      <c r="F2">
        <v>-0.16931550000000001</v>
      </c>
      <c r="G2">
        <v>3.0962799999999999E-2</v>
      </c>
      <c r="K2" t="s">
        <v>43</v>
      </c>
      <c r="L2" t="s">
        <v>134</v>
      </c>
      <c r="M2" t="s">
        <v>135</v>
      </c>
      <c r="N2" t="s">
        <v>136</v>
      </c>
      <c r="O2" t="s">
        <v>137</v>
      </c>
      <c r="P2" t="s">
        <v>138</v>
      </c>
      <c r="Q2" t="s">
        <v>139</v>
      </c>
      <c r="R2" t="s">
        <v>140</v>
      </c>
      <c r="S2" t="s">
        <v>141</v>
      </c>
      <c r="T2" t="s">
        <v>142</v>
      </c>
      <c r="U2" t="s">
        <v>143</v>
      </c>
      <c r="V2" t="s">
        <v>144</v>
      </c>
      <c r="W2" t="s">
        <v>145</v>
      </c>
      <c r="X2" t="s">
        <v>146</v>
      </c>
      <c r="Y2" t="s">
        <v>50</v>
      </c>
      <c r="Z2" t="s">
        <v>71</v>
      </c>
      <c r="AA2" s="5" t="s">
        <v>110</v>
      </c>
      <c r="AB2" t="s">
        <v>123</v>
      </c>
      <c r="AC2" t="s">
        <v>111</v>
      </c>
      <c r="AD2" t="s">
        <v>112</v>
      </c>
      <c r="AE2" t="s">
        <v>113</v>
      </c>
      <c r="AF2" t="s">
        <v>156</v>
      </c>
      <c r="AG2" t="s">
        <v>157</v>
      </c>
    </row>
    <row r="3" spans="1:33" x14ac:dyDescent="0.35">
      <c r="A3" t="s">
        <v>8</v>
      </c>
      <c r="B3" s="3">
        <v>-8.2218699999999999E-5</v>
      </c>
      <c r="C3">
        <v>-0.27539566799999998</v>
      </c>
      <c r="D3">
        <v>-0.22193830000000001</v>
      </c>
      <c r="K3" t="s">
        <v>152</v>
      </c>
      <c r="L3">
        <v>2.3350713576388502E-2</v>
      </c>
      <c r="M3">
        <v>1.46914698416472E-2</v>
      </c>
      <c r="N3">
        <v>4.4936701973624101E-2</v>
      </c>
      <c r="O3">
        <v>3.7394975243503097E-2</v>
      </c>
      <c r="P3">
        <v>3.2205634305248199E-2</v>
      </c>
      <c r="Q3">
        <v>2.5145835575648801E-2</v>
      </c>
      <c r="R3">
        <v>2.1628688934551998E-2</v>
      </c>
      <c r="S3">
        <v>3.3354814042705502E-2</v>
      </c>
      <c r="T3">
        <v>5.3121270572796302E-2</v>
      </c>
      <c r="U3">
        <v>5.9079478448391398E-2</v>
      </c>
      <c r="V3">
        <v>6.9527752874173995E-2</v>
      </c>
      <c r="W3">
        <v>7.7592666501332896E-2</v>
      </c>
      <c r="X3">
        <v>3.7486775885112497E-2</v>
      </c>
      <c r="Y3">
        <f t="shared" ref="Y3:Y8" si="0">AVERAGE(K3:X3)</f>
        <v>4.0732059828855735E-2</v>
      </c>
      <c r="Z3">
        <f t="shared" ref="Z3:Z8" si="1">MAX(K3:Y3)</f>
        <v>7.7592666501332896E-2</v>
      </c>
      <c r="AF3" t="e">
        <f t="shared" ref="AF3:AF8" si="2">AVERAGE(AA3:AE3)</f>
        <v>#DIV/0!</v>
      </c>
      <c r="AG3" t="e">
        <f t="shared" ref="AG3:AG8" si="3">MAX(AA3:AF3)</f>
        <v>#DIV/0!</v>
      </c>
    </row>
    <row r="4" spans="1:33" x14ac:dyDescent="0.35">
      <c r="A4" t="s">
        <v>103</v>
      </c>
      <c r="B4">
        <v>4.4688721909179198E-2</v>
      </c>
      <c r="C4">
        <v>-0.38826361874965998</v>
      </c>
      <c r="D4">
        <v>0.71755506256627899</v>
      </c>
      <c r="G4">
        <v>8.2466795331835305E-2</v>
      </c>
      <c r="H4" t="s">
        <v>105</v>
      </c>
      <c r="L4">
        <v>2.4716742553165201E-2</v>
      </c>
      <c r="M4">
        <v>1.4095418714975501E-2</v>
      </c>
      <c r="N4">
        <v>4.3185062508216E-2</v>
      </c>
      <c r="O4">
        <v>3.50610359868554E-2</v>
      </c>
      <c r="P4">
        <v>3.2101207515573202E-2</v>
      </c>
      <c r="Q4">
        <v>2.53336791993805E-2</v>
      </c>
      <c r="R4">
        <v>2.0964010754754799E-2</v>
      </c>
      <c r="S4">
        <v>3.3405319656903201E-2</v>
      </c>
      <c r="T4">
        <v>5.2217500950971198E-2</v>
      </c>
      <c r="U4">
        <v>5.8135358548681002E-2</v>
      </c>
      <c r="V4">
        <v>6.8956157171166793E-2</v>
      </c>
      <c r="W4">
        <v>7.84812517180032E-2</v>
      </c>
      <c r="X4">
        <v>3.9047532372528997E-2</v>
      </c>
      <c r="Y4">
        <f t="shared" si="0"/>
        <v>4.0438482896244229E-2</v>
      </c>
      <c r="Z4">
        <f t="shared" si="1"/>
        <v>7.84812517180032E-2</v>
      </c>
      <c r="AF4" t="e">
        <f t="shared" si="2"/>
        <v>#DIV/0!</v>
      </c>
      <c r="AG4" t="e">
        <f t="shared" si="3"/>
        <v>#DIV/0!</v>
      </c>
    </row>
    <row r="5" spans="1:33" x14ac:dyDescent="0.35">
      <c r="A5" t="s">
        <v>87</v>
      </c>
      <c r="B5">
        <v>0.19910990463272599</v>
      </c>
      <c r="C5">
        <v>0.214250252588778</v>
      </c>
      <c r="D5">
        <v>1.2896344205815999</v>
      </c>
      <c r="G5">
        <v>3.5400000000000001E-2</v>
      </c>
      <c r="K5" t="s">
        <v>153</v>
      </c>
      <c r="L5">
        <v>2.7892629288148001E-2</v>
      </c>
      <c r="M5">
        <v>3.4806128571408398E-2</v>
      </c>
      <c r="N5">
        <v>5.6199138815923998E-2</v>
      </c>
      <c r="O5">
        <v>4.6118026898209902E-2</v>
      </c>
      <c r="P5">
        <v>5.2934799349750802E-2</v>
      </c>
      <c r="Q5">
        <v>4.2224416243762997E-2</v>
      </c>
      <c r="R5">
        <v>3.6551178931423199E-2</v>
      </c>
      <c r="S5">
        <v>4.7746913772238601E-2</v>
      </c>
      <c r="T5">
        <v>3.6305123178625297E-2</v>
      </c>
      <c r="U5">
        <v>3.5600338323064903E-2</v>
      </c>
      <c r="V5">
        <v>5.2474323024070298E-2</v>
      </c>
      <c r="W5">
        <v>6.4697779464713695E-2</v>
      </c>
      <c r="X5">
        <v>8.2233267561256193E-2</v>
      </c>
      <c r="Y5">
        <f t="shared" si="0"/>
        <v>4.7368004878661246E-2</v>
      </c>
      <c r="Z5">
        <f t="shared" si="1"/>
        <v>8.2233267561256193E-2</v>
      </c>
      <c r="AF5" t="e">
        <f t="shared" si="2"/>
        <v>#DIV/0!</v>
      </c>
      <c r="AG5" t="e">
        <f t="shared" si="3"/>
        <v>#DIV/0!</v>
      </c>
    </row>
    <row r="6" spans="1:33" x14ac:dyDescent="0.35">
      <c r="A6" t="s">
        <v>103</v>
      </c>
      <c r="B6">
        <v>4.4865596561655702E-2</v>
      </c>
      <c r="C6">
        <v>-0.39010024540548999</v>
      </c>
      <c r="D6">
        <v>0.71483641405540199</v>
      </c>
      <c r="G6">
        <v>0.1178</v>
      </c>
      <c r="H6" t="s">
        <v>106</v>
      </c>
      <c r="K6" t="s">
        <v>151</v>
      </c>
      <c r="L6">
        <v>3.4147312648326301E-2</v>
      </c>
      <c r="M6">
        <v>2.7321985202204298E-2</v>
      </c>
      <c r="N6">
        <v>4.24592903901427E-2</v>
      </c>
      <c r="O6">
        <v>5.1288191058020897E-2</v>
      </c>
      <c r="P6">
        <v>4.3166378031595697E-2</v>
      </c>
      <c r="Q6">
        <v>2.7177298282397799E-2</v>
      </c>
      <c r="R6">
        <v>2.2332779711195599E-2</v>
      </c>
      <c r="S6">
        <v>2.1136776810946601E-2</v>
      </c>
      <c r="T6">
        <v>2.4455518443766099E-2</v>
      </c>
      <c r="U6">
        <v>2.9562900385291999E-2</v>
      </c>
      <c r="V6">
        <v>3.1159259922271101E-2</v>
      </c>
      <c r="W6">
        <v>5.0001072519244898E-2</v>
      </c>
      <c r="X6">
        <v>4.5753281338054799E-2</v>
      </c>
      <c r="Y6">
        <f t="shared" si="0"/>
        <v>3.4612464980266058E-2</v>
      </c>
      <c r="Z6">
        <f t="shared" si="1"/>
        <v>5.1288191058020897E-2</v>
      </c>
      <c r="AA6">
        <v>0.14340555098629701</v>
      </c>
      <c r="AB6">
        <v>9.0537615139643701E-2</v>
      </c>
      <c r="AC6">
        <v>9.0505285514573902E-2</v>
      </c>
      <c r="AD6">
        <v>0.12581397652599999</v>
      </c>
      <c r="AE6">
        <v>0.20446661985095799</v>
      </c>
      <c r="AF6">
        <f t="shared" si="2"/>
        <v>0.1309458096034945</v>
      </c>
      <c r="AG6">
        <f t="shared" si="3"/>
        <v>0.20446661985095799</v>
      </c>
    </row>
    <row r="7" spans="1:33" x14ac:dyDescent="0.35">
      <c r="A7" t="s">
        <v>87</v>
      </c>
      <c r="B7">
        <v>0.199117120271432</v>
      </c>
      <c r="C7">
        <v>0.22030569466153399</v>
      </c>
      <c r="D7">
        <v>1.29292516365515</v>
      </c>
      <c r="G7">
        <v>0.1178</v>
      </c>
      <c r="L7">
        <v>4.2791744512949197E-2</v>
      </c>
      <c r="M7">
        <v>4.6347311851713403E-2</v>
      </c>
      <c r="N7">
        <v>5.1379924859118603E-2</v>
      </c>
      <c r="O7">
        <v>6.7203248229696699E-2</v>
      </c>
      <c r="P7">
        <v>5.4397473568261398E-2</v>
      </c>
      <c r="Q7">
        <v>3.4860218464864999E-2</v>
      </c>
      <c r="R7">
        <v>3.4407964667048999E-2</v>
      </c>
      <c r="S7">
        <v>2.8829499685441299E-2</v>
      </c>
      <c r="T7">
        <v>4.3590967232718603E-2</v>
      </c>
      <c r="U7">
        <v>2.8233644505711399E-2</v>
      </c>
      <c r="V7">
        <v>2.9002710238128299E-2</v>
      </c>
      <c r="W7">
        <v>4.99116044525632E-2</v>
      </c>
      <c r="X7">
        <v>8.2506898510743207E-2</v>
      </c>
      <c r="Y7">
        <f t="shared" si="0"/>
        <v>4.5651016213766098E-2</v>
      </c>
      <c r="Z7">
        <f t="shared" si="1"/>
        <v>8.2506898510743207E-2</v>
      </c>
      <c r="AA7">
        <v>0.17655584597004101</v>
      </c>
      <c r="AB7">
        <v>8.81862229560893E-2</v>
      </c>
      <c r="AC7">
        <v>8.7274446637421996E-2</v>
      </c>
      <c r="AD7">
        <v>0.14193273029735801</v>
      </c>
      <c r="AE7">
        <v>0.155763774613317</v>
      </c>
      <c r="AF7">
        <f t="shared" si="2"/>
        <v>0.12994260409484545</v>
      </c>
      <c r="AG7">
        <f t="shared" si="3"/>
        <v>0.17655584597004101</v>
      </c>
    </row>
    <row r="8" spans="1:33" x14ac:dyDescent="0.35">
      <c r="L8">
        <v>4.2160137062625801E-2</v>
      </c>
      <c r="M8">
        <v>4.7152080781468299E-2</v>
      </c>
      <c r="N8">
        <v>5.63575325106873E-2</v>
      </c>
      <c r="O8">
        <v>7.1054714310643197E-2</v>
      </c>
      <c r="P8">
        <v>5.4621787875609298E-2</v>
      </c>
      <c r="Q8">
        <v>3.2556596763730399E-2</v>
      </c>
      <c r="R8">
        <v>3.0406203715912499E-2</v>
      </c>
      <c r="S8">
        <v>2.5273372283902501E-2</v>
      </c>
      <c r="T8">
        <v>4.4261846263925299E-2</v>
      </c>
      <c r="U8">
        <v>2.6735996822291299E-2</v>
      </c>
      <c r="V8">
        <v>2.92516453063714E-2</v>
      </c>
      <c r="W8">
        <v>4.90859462378073E-2</v>
      </c>
      <c r="X8">
        <v>7.7761482933363602E-2</v>
      </c>
      <c r="Y8">
        <f t="shared" si="0"/>
        <v>4.5129180220641399E-2</v>
      </c>
      <c r="Z8">
        <f t="shared" si="1"/>
        <v>7.7761482933363602E-2</v>
      </c>
      <c r="AA8">
        <v>0.141563122482883</v>
      </c>
      <c r="AB8">
        <v>0.113507122438469</v>
      </c>
      <c r="AC8">
        <v>7.3105914039431896E-2</v>
      </c>
      <c r="AD8">
        <v>0.131566137222006</v>
      </c>
      <c r="AE8">
        <v>0.10681154995118999</v>
      </c>
      <c r="AF8">
        <f t="shared" si="2"/>
        <v>0.11331076922679598</v>
      </c>
      <c r="AG8">
        <f t="shared" si="3"/>
        <v>0.141563122482883</v>
      </c>
    </row>
    <row r="10" spans="1:33" x14ac:dyDescent="0.35">
      <c r="A10" t="s">
        <v>131</v>
      </c>
    </row>
    <row r="11" spans="1:33" x14ac:dyDescent="0.35">
      <c r="A11" t="s">
        <v>149</v>
      </c>
      <c r="B11" t="s">
        <v>91</v>
      </c>
      <c r="C11" t="s">
        <v>92</v>
      </c>
      <c r="D11" t="s">
        <v>87</v>
      </c>
      <c r="E11" t="s">
        <v>109</v>
      </c>
      <c r="F11" t="s">
        <v>100</v>
      </c>
      <c r="G11" t="s">
        <v>67</v>
      </c>
      <c r="H11" t="s">
        <v>104</v>
      </c>
    </row>
    <row r="12" spans="1:33" x14ac:dyDescent="0.35">
      <c r="A12" t="s">
        <v>1</v>
      </c>
      <c r="B12" s="5">
        <v>-8.3928162153117398E-3</v>
      </c>
      <c r="C12">
        <v>-0.25364554626054697</v>
      </c>
      <c r="D12" t="s">
        <v>166</v>
      </c>
      <c r="E12" t="s">
        <v>167</v>
      </c>
      <c r="F12">
        <v>0.45</v>
      </c>
      <c r="G12">
        <v>2.8857324387672599E-2</v>
      </c>
      <c r="K12" s="5"/>
    </row>
    <row r="13" spans="1:33" x14ac:dyDescent="0.35">
      <c r="A13" t="s">
        <v>8</v>
      </c>
      <c r="B13" s="3">
        <v>8.1606802728634797E-4</v>
      </c>
      <c r="C13">
        <v>-0.55400751927445901</v>
      </c>
      <c r="D13">
        <v>0.45620717253724602</v>
      </c>
      <c r="E13">
        <v>0.55269983399608602</v>
      </c>
      <c r="K13" s="3"/>
    </row>
    <row r="14" spans="1:33" x14ac:dyDescent="0.35">
      <c r="A14" t="s">
        <v>103</v>
      </c>
    </row>
    <row r="15" spans="1:33" x14ac:dyDescent="0.35">
      <c r="A15" t="s">
        <v>87</v>
      </c>
    </row>
    <row r="16" spans="1:33" x14ac:dyDescent="0.35">
      <c r="A16" t="s">
        <v>103</v>
      </c>
    </row>
    <row r="17" spans="1:17" x14ac:dyDescent="0.35">
      <c r="A17" t="s">
        <v>87</v>
      </c>
    </row>
    <row r="19" spans="1:17" x14ac:dyDescent="0.35">
      <c r="A19" t="s">
        <v>132</v>
      </c>
    </row>
    <row r="20" spans="1:17" x14ac:dyDescent="0.35">
      <c r="A20" t="s">
        <v>150</v>
      </c>
      <c r="B20" t="s">
        <v>91</v>
      </c>
      <c r="C20" t="s">
        <v>92</v>
      </c>
      <c r="D20" t="s">
        <v>87</v>
      </c>
      <c r="E20" t="s">
        <v>101</v>
      </c>
      <c r="F20" t="s">
        <v>109</v>
      </c>
      <c r="G20" t="s">
        <v>158</v>
      </c>
      <c r="H20" t="s">
        <v>100</v>
      </c>
      <c r="I20" t="s">
        <v>67</v>
      </c>
      <c r="J20" t="s">
        <v>18</v>
      </c>
      <c r="N20" t="s">
        <v>159</v>
      </c>
      <c r="O20">
        <f>-8.6878*0.001</f>
        <v>-8.687799999999999E-3</v>
      </c>
      <c r="P20">
        <f>-1.7951*0.1</f>
        <v>-0.17951</v>
      </c>
      <c r="Q20">
        <f>-12.2359*0.01</f>
        <v>-0.12235900000000001</v>
      </c>
    </row>
    <row r="21" spans="1:17" x14ac:dyDescent="0.35">
      <c r="A21" t="s">
        <v>1</v>
      </c>
      <c r="B21">
        <v>-1.6248943376292801E-2</v>
      </c>
      <c r="C21">
        <v>1.3011652916219401</v>
      </c>
      <c r="D21">
        <v>-13.215313775983001</v>
      </c>
      <c r="E21">
        <v>7.1760857825615698</v>
      </c>
      <c r="F21">
        <v>0.93985986964442902</v>
      </c>
      <c r="G21">
        <v>0.82396485082091697</v>
      </c>
      <c r="H21">
        <v>0.43779367539928998</v>
      </c>
      <c r="I21">
        <v>1.7000000000000001E-2</v>
      </c>
      <c r="N21" t="s">
        <v>160</v>
      </c>
      <c r="O21">
        <f>-0.9194*0.001</f>
        <v>-9.1940000000000001E-4</v>
      </c>
      <c r="P21">
        <f>-1.3316*0.1</f>
        <v>-0.13316</v>
      </c>
      <c r="Q21">
        <f>-4.2657*0.01</f>
        <v>-4.2657E-2</v>
      </c>
    </row>
    <row r="22" spans="1:17" x14ac:dyDescent="0.35">
      <c r="A22" t="s">
        <v>8</v>
      </c>
      <c r="B22" s="3">
        <v>2.9301076673254E-4</v>
      </c>
      <c r="C22">
        <v>1.0119176576567599</v>
      </c>
      <c r="D22">
        <v>-2.9913861277034002</v>
      </c>
      <c r="F22">
        <v>0.60518356357517</v>
      </c>
      <c r="G22">
        <v>0.58185101045482701</v>
      </c>
      <c r="K22" t="s">
        <v>155</v>
      </c>
    </row>
    <row r="23" spans="1:17" x14ac:dyDescent="0.35">
      <c r="A23" t="s">
        <v>103</v>
      </c>
      <c r="B23">
        <v>4.2101628498088899E-2</v>
      </c>
      <c r="C23">
        <v>1.40772602144863</v>
      </c>
      <c r="D23">
        <v>11.030831328258</v>
      </c>
      <c r="F23">
        <v>0.61229685812720203</v>
      </c>
      <c r="G23">
        <v>0.80523397527696905</v>
      </c>
      <c r="I23">
        <v>8.7999999999999995E-2</v>
      </c>
      <c r="J23" t="s">
        <v>154</v>
      </c>
      <c r="K23" t="s">
        <v>175</v>
      </c>
      <c r="L23">
        <v>0.13364460306972101</v>
      </c>
      <c r="O23">
        <f t="shared" ref="O23:Q24" si="4">B21/O20</f>
        <v>1.8703173848722119</v>
      </c>
      <c r="P23">
        <f t="shared" si="4"/>
        <v>-7.248427896061167</v>
      </c>
      <c r="Q23">
        <f t="shared" si="4"/>
        <v>108.00442775752498</v>
      </c>
    </row>
    <row r="24" spans="1:17" x14ac:dyDescent="0.35">
      <c r="A24" t="s">
        <v>87</v>
      </c>
      <c r="O24" s="3">
        <f t="shared" si="4"/>
        <v>-0.3186978102376985</v>
      </c>
      <c r="P24" s="3">
        <f t="shared" si="4"/>
        <v>-7.5992614723397409</v>
      </c>
      <c r="Q24" s="3">
        <f t="shared" si="4"/>
        <v>70.126500403296063</v>
      </c>
    </row>
    <row r="25" spans="1:17" x14ac:dyDescent="0.35">
      <c r="A25" t="s">
        <v>103</v>
      </c>
    </row>
    <row r="26" spans="1:17" x14ac:dyDescent="0.35">
      <c r="A26" t="s">
        <v>87</v>
      </c>
    </row>
    <row r="28" spans="1:17" x14ac:dyDescent="0.35">
      <c r="A28" t="s">
        <v>168</v>
      </c>
    </row>
    <row r="29" spans="1:17" x14ac:dyDescent="0.35">
      <c r="A29" t="s">
        <v>150</v>
      </c>
      <c r="B29" t="s">
        <v>91</v>
      </c>
      <c r="C29" t="s">
        <v>92</v>
      </c>
      <c r="D29" t="s">
        <v>87</v>
      </c>
      <c r="E29" t="s">
        <v>101</v>
      </c>
      <c r="F29" t="s">
        <v>109</v>
      </c>
      <c r="G29" t="s">
        <v>158</v>
      </c>
      <c r="H29" t="s">
        <v>100</v>
      </c>
      <c r="I29" t="s">
        <v>67</v>
      </c>
      <c r="J29" t="s">
        <v>18</v>
      </c>
    </row>
    <row r="30" spans="1:17" x14ac:dyDescent="0.35">
      <c r="A30" t="s">
        <v>1</v>
      </c>
      <c r="B30">
        <v>-1.5087401852988401E-2</v>
      </c>
      <c r="C30">
        <v>1.1793288696973301</v>
      </c>
      <c r="D30">
        <v>-10.799687755027801</v>
      </c>
      <c r="E30">
        <v>12.536185542576099</v>
      </c>
      <c r="F30">
        <v>1.1714896072382801</v>
      </c>
      <c r="H30">
        <v>0.45</v>
      </c>
      <c r="I30">
        <v>2.07E-2</v>
      </c>
      <c r="O30" t="s">
        <v>171</v>
      </c>
    </row>
    <row r="31" spans="1:17" x14ac:dyDescent="0.35">
      <c r="A31" t="s">
        <v>8</v>
      </c>
      <c r="B31" s="3">
        <v>-6.3932027352931603E-4</v>
      </c>
      <c r="C31">
        <v>0.91035434107562996</v>
      </c>
      <c r="D31">
        <v>-1.9017722602334399</v>
      </c>
      <c r="F31">
        <v>1.2</v>
      </c>
      <c r="O31" t="s">
        <v>172</v>
      </c>
    </row>
    <row r="32" spans="1:17" x14ac:dyDescent="0.35">
      <c r="A32" t="s">
        <v>103</v>
      </c>
      <c r="B32">
        <v>4.6117574891060699E-2</v>
      </c>
      <c r="C32">
        <v>2.0643884538056998</v>
      </c>
      <c r="D32">
        <v>7.4524873730568304</v>
      </c>
      <c r="F32">
        <v>1.62750022211212</v>
      </c>
      <c r="I32">
        <v>8.7999999999999995E-2</v>
      </c>
      <c r="J32" t="s">
        <v>154</v>
      </c>
    </row>
    <row r="33" spans="1:15" x14ac:dyDescent="0.35">
      <c r="A33" t="s">
        <v>87</v>
      </c>
      <c r="O33" t="s">
        <v>173</v>
      </c>
    </row>
    <row r="34" spans="1:15" x14ac:dyDescent="0.35">
      <c r="A34" t="s">
        <v>103</v>
      </c>
      <c r="O34" t="s">
        <v>174</v>
      </c>
    </row>
    <row r="35" spans="1:15" x14ac:dyDescent="0.35">
      <c r="A35" t="s">
        <v>87</v>
      </c>
    </row>
    <row r="42" spans="1:15" x14ac:dyDescent="0.35">
      <c r="A42" t="s">
        <v>47</v>
      </c>
      <c r="B42" t="s">
        <v>91</v>
      </c>
      <c r="C42" t="s">
        <v>92</v>
      </c>
      <c r="D42" t="s">
        <v>87</v>
      </c>
      <c r="E42" t="s">
        <v>100</v>
      </c>
      <c r="F42" t="s">
        <v>107</v>
      </c>
      <c r="G42" t="s">
        <v>108</v>
      </c>
      <c r="H42" t="s">
        <v>67</v>
      </c>
      <c r="I42" t="s">
        <v>104</v>
      </c>
    </row>
    <row r="43" spans="1:15" x14ac:dyDescent="0.35">
      <c r="A43" t="s">
        <v>1</v>
      </c>
      <c r="B43">
        <v>-1.6103144324676799E-2</v>
      </c>
      <c r="C43">
        <v>-0.309177310554963</v>
      </c>
      <c r="D43">
        <v>-1.09429475061423</v>
      </c>
      <c r="E43">
        <v>0.428576124526383</v>
      </c>
      <c r="F43">
        <v>-6.2456859163506601E-2</v>
      </c>
      <c r="G43">
        <v>-7.6236888768580105E-2</v>
      </c>
      <c r="H43">
        <v>3.0785142927968301E-2</v>
      </c>
    </row>
    <row r="44" spans="1:15" x14ac:dyDescent="0.35">
      <c r="A44" t="s">
        <v>8</v>
      </c>
      <c r="B44" s="3">
        <v>2.97636086872351E-4</v>
      </c>
      <c r="C44">
        <v>-0.27859493341137997</v>
      </c>
      <c r="D44">
        <v>-0.169282772982636</v>
      </c>
    </row>
    <row r="45" spans="1:15" x14ac:dyDescent="0.35">
      <c r="A45" t="s">
        <v>103</v>
      </c>
      <c r="H45">
        <v>8.2466795331835305E-2</v>
      </c>
      <c r="I45" t="s">
        <v>105</v>
      </c>
    </row>
    <row r="46" spans="1:15" x14ac:dyDescent="0.35">
      <c r="A46" t="s">
        <v>87</v>
      </c>
      <c r="H46">
        <v>3.5400000000000001E-2</v>
      </c>
    </row>
    <row r="47" spans="1:15" x14ac:dyDescent="0.35">
      <c r="A47" t="s">
        <v>103</v>
      </c>
      <c r="H47">
        <v>0.1178</v>
      </c>
      <c r="I47" t="s">
        <v>106</v>
      </c>
    </row>
    <row r="48" spans="1:15" x14ac:dyDescent="0.35">
      <c r="A48" t="s">
        <v>87</v>
      </c>
      <c r="H48">
        <v>0.1178</v>
      </c>
    </row>
    <row r="52" spans="1:3" x14ac:dyDescent="0.35">
      <c r="A52" t="s">
        <v>67</v>
      </c>
    </row>
    <row r="55" spans="1:3" x14ac:dyDescent="0.35">
      <c r="B55" t="s">
        <v>170</v>
      </c>
      <c r="C55" t="s">
        <v>169</v>
      </c>
    </row>
  </sheetData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2CC5F-F872-42B6-A231-9E39C10C3BF6}">
  <dimension ref="A1:O112"/>
  <sheetViews>
    <sheetView topLeftCell="A87" zoomScale="106" zoomScaleNormal="85" workbookViewId="0">
      <selection activeCell="D94" sqref="D94"/>
    </sheetView>
  </sheetViews>
  <sheetFormatPr defaultRowHeight="14.5" x14ac:dyDescent="0.35"/>
  <cols>
    <col min="1" max="1" width="23.453125" customWidth="1"/>
    <col min="2" max="2" width="14.6328125" customWidth="1"/>
    <col min="3" max="3" width="13.54296875" customWidth="1"/>
    <col min="4" max="4" width="14.90625" customWidth="1"/>
    <col min="5" max="5" width="15.36328125" customWidth="1"/>
    <col min="6" max="6" width="14.1796875" customWidth="1"/>
    <col min="7" max="7" width="21.1796875" customWidth="1"/>
    <col min="8" max="8" width="23.08984375" customWidth="1"/>
    <col min="9" max="9" width="17.1796875" customWidth="1"/>
    <col min="11" max="12" width="8.7265625" customWidth="1"/>
  </cols>
  <sheetData>
    <row r="1" spans="3:11" x14ac:dyDescent="0.35">
      <c r="C1" t="s">
        <v>191</v>
      </c>
      <c r="D1" t="s">
        <v>191</v>
      </c>
      <c r="E1" t="s">
        <v>176</v>
      </c>
      <c r="F1" t="s">
        <v>179</v>
      </c>
      <c r="G1" t="s">
        <v>177</v>
      </c>
      <c r="H1" t="s">
        <v>101</v>
      </c>
      <c r="I1" t="s">
        <v>87</v>
      </c>
      <c r="J1" t="s">
        <v>147</v>
      </c>
      <c r="K1" t="s">
        <v>207</v>
      </c>
    </row>
    <row r="2" spans="3:11" x14ac:dyDescent="0.35">
      <c r="E2" s="5" t="s">
        <v>178</v>
      </c>
      <c r="F2" s="5" t="s">
        <v>180</v>
      </c>
      <c r="G2" s="5" t="s">
        <v>181</v>
      </c>
      <c r="H2" s="5" t="s">
        <v>182</v>
      </c>
      <c r="J2" t="s">
        <v>183</v>
      </c>
    </row>
    <row r="3" spans="3:11" x14ac:dyDescent="0.35">
      <c r="C3">
        <v>6.6325115625797001E-2</v>
      </c>
      <c r="D3">
        <v>5.2577772743538399E-2</v>
      </c>
      <c r="E3" s="5" t="s">
        <v>178</v>
      </c>
      <c r="F3" s="5" t="s">
        <v>180</v>
      </c>
      <c r="G3" s="5" t="s">
        <v>184</v>
      </c>
      <c r="H3" s="5" t="s">
        <v>182</v>
      </c>
      <c r="J3" t="s">
        <v>185</v>
      </c>
    </row>
    <row r="4" spans="3:11" x14ac:dyDescent="0.35">
      <c r="E4" s="5" t="s">
        <v>178</v>
      </c>
      <c r="F4" s="5" t="s">
        <v>180</v>
      </c>
      <c r="G4" s="5" t="s">
        <v>186</v>
      </c>
      <c r="H4" s="5" t="s">
        <v>187</v>
      </c>
      <c r="J4" t="s">
        <v>188</v>
      </c>
    </row>
    <row r="5" spans="3:11" x14ac:dyDescent="0.35">
      <c r="E5" s="5" t="s">
        <v>178</v>
      </c>
      <c r="F5" s="5" t="s">
        <v>180</v>
      </c>
      <c r="G5" s="5" t="s">
        <v>186</v>
      </c>
      <c r="H5" s="5" t="s">
        <v>182</v>
      </c>
      <c r="J5" t="s">
        <v>189</v>
      </c>
    </row>
    <row r="6" spans="3:11" x14ac:dyDescent="0.35">
      <c r="E6" s="5" t="s">
        <v>178</v>
      </c>
      <c r="F6" s="5" t="s">
        <v>180</v>
      </c>
      <c r="G6" s="5" t="s">
        <v>186</v>
      </c>
      <c r="H6" s="5" t="s">
        <v>187</v>
      </c>
      <c r="J6" t="s">
        <v>190</v>
      </c>
    </row>
    <row r="7" spans="3:11" x14ac:dyDescent="0.35">
      <c r="E7" s="5" t="s">
        <v>192</v>
      </c>
      <c r="F7" s="5" t="s">
        <v>193</v>
      </c>
      <c r="G7" s="5" t="s">
        <v>184</v>
      </c>
      <c r="H7" s="5" t="s">
        <v>182</v>
      </c>
      <c r="J7" t="s">
        <v>194</v>
      </c>
    </row>
    <row r="8" spans="3:11" x14ac:dyDescent="0.35">
      <c r="C8">
        <v>5.0515771359399102E-2</v>
      </c>
      <c r="D8">
        <v>3.9912248259798298E-2</v>
      </c>
      <c r="E8" s="5" t="s">
        <v>192</v>
      </c>
      <c r="F8" s="5" t="s">
        <v>193</v>
      </c>
      <c r="G8" s="5" t="s">
        <v>186</v>
      </c>
      <c r="H8" s="5" t="s">
        <v>187</v>
      </c>
      <c r="J8" t="s">
        <v>195</v>
      </c>
    </row>
    <row r="9" spans="3:11" x14ac:dyDescent="0.35">
      <c r="E9" s="5" t="s">
        <v>192</v>
      </c>
      <c r="F9" s="5" t="s">
        <v>193</v>
      </c>
      <c r="G9" s="5" t="s">
        <v>186</v>
      </c>
      <c r="H9" s="5" t="s">
        <v>182</v>
      </c>
      <c r="J9" t="s">
        <v>196</v>
      </c>
    </row>
    <row r="10" spans="3:11" x14ac:dyDescent="0.35">
      <c r="E10" s="5" t="s">
        <v>192</v>
      </c>
      <c r="F10" s="5" t="s">
        <v>193</v>
      </c>
      <c r="G10" s="5" t="s">
        <v>184</v>
      </c>
      <c r="H10" s="5" t="s">
        <v>187</v>
      </c>
      <c r="J10" t="s">
        <v>197</v>
      </c>
    </row>
    <row r="11" spans="3:11" x14ac:dyDescent="0.35">
      <c r="E11" s="5" t="s">
        <v>192</v>
      </c>
      <c r="F11" s="5" t="s">
        <v>193</v>
      </c>
      <c r="G11" s="5" t="s">
        <v>198</v>
      </c>
      <c r="H11" s="5" t="s">
        <v>187</v>
      </c>
    </row>
    <row r="13" spans="3:11" x14ac:dyDescent="0.35">
      <c r="E13" s="5" t="s">
        <v>192</v>
      </c>
      <c r="F13" s="5" t="s">
        <v>193</v>
      </c>
      <c r="G13" s="5" t="s">
        <v>201</v>
      </c>
      <c r="H13" s="5" t="s">
        <v>187</v>
      </c>
      <c r="I13" s="5" t="s">
        <v>200</v>
      </c>
      <c r="J13" t="s">
        <v>199</v>
      </c>
    </row>
    <row r="14" spans="3:11" x14ac:dyDescent="0.35">
      <c r="C14">
        <v>4.2893849752111197E-2</v>
      </c>
      <c r="D14">
        <v>3.6573659429818002E-2</v>
      </c>
      <c r="E14" s="5" t="s">
        <v>192</v>
      </c>
      <c r="F14" s="5" t="s">
        <v>193</v>
      </c>
      <c r="G14" s="5" t="s">
        <v>203</v>
      </c>
      <c r="H14" s="5" t="s">
        <v>182</v>
      </c>
      <c r="I14" s="5" t="s">
        <v>200</v>
      </c>
      <c r="J14" t="s">
        <v>202</v>
      </c>
      <c r="K14" t="s">
        <v>206</v>
      </c>
    </row>
    <row r="15" spans="3:11" x14ac:dyDescent="0.35">
      <c r="D15" t="s">
        <v>204</v>
      </c>
      <c r="E15" s="5"/>
      <c r="F15" s="5"/>
      <c r="G15" s="5"/>
      <c r="H15" s="5"/>
      <c r="I15" s="5"/>
    </row>
    <row r="16" spans="3:11" x14ac:dyDescent="0.35">
      <c r="E16" s="5"/>
      <c r="F16" s="5"/>
      <c r="G16" s="5"/>
      <c r="H16" s="5"/>
      <c r="I16" s="5"/>
    </row>
    <row r="17" spans="1:10" x14ac:dyDescent="0.35">
      <c r="D17" t="s">
        <v>205</v>
      </c>
      <c r="E17" s="5"/>
      <c r="F17" s="5"/>
      <c r="G17" s="5"/>
      <c r="H17" s="5"/>
      <c r="I17" s="5"/>
    </row>
    <row r="18" spans="1:10" x14ac:dyDescent="0.35">
      <c r="E18" s="5"/>
      <c r="F18" s="5"/>
      <c r="G18" s="5"/>
      <c r="H18" s="5"/>
      <c r="I18" s="5"/>
    </row>
    <row r="19" spans="1:10" x14ac:dyDescent="0.35">
      <c r="D19" t="s">
        <v>213</v>
      </c>
      <c r="E19" s="5" t="s">
        <v>192</v>
      </c>
      <c r="F19" s="5" t="s">
        <v>193</v>
      </c>
      <c r="G19" s="5" t="s">
        <v>203</v>
      </c>
      <c r="H19" s="5" t="s">
        <v>182</v>
      </c>
      <c r="I19" s="5" t="s">
        <v>208</v>
      </c>
      <c r="J19" t="s">
        <v>209</v>
      </c>
    </row>
    <row r="20" spans="1:10" x14ac:dyDescent="0.35">
      <c r="E20" s="5" t="s">
        <v>192</v>
      </c>
      <c r="F20" s="5" t="s">
        <v>193</v>
      </c>
      <c r="G20" s="5" t="s">
        <v>203</v>
      </c>
      <c r="H20" s="5" t="s">
        <v>182</v>
      </c>
      <c r="I20" s="5" t="s">
        <v>210</v>
      </c>
      <c r="J20" t="s">
        <v>211</v>
      </c>
    </row>
    <row r="21" spans="1:10" x14ac:dyDescent="0.35">
      <c r="D21" t="s">
        <v>204</v>
      </c>
      <c r="E21" s="5" t="s">
        <v>192</v>
      </c>
      <c r="F21" s="5" t="s">
        <v>193</v>
      </c>
      <c r="G21" s="5" t="s">
        <v>203</v>
      </c>
      <c r="H21" s="5" t="s">
        <v>187</v>
      </c>
      <c r="I21" s="5" t="s">
        <v>210</v>
      </c>
      <c r="J21" t="s">
        <v>212</v>
      </c>
    </row>
    <row r="22" spans="1:10" x14ac:dyDescent="0.35">
      <c r="E22" s="5"/>
      <c r="F22" s="5"/>
      <c r="G22" s="5"/>
      <c r="H22" s="5"/>
      <c r="I22" s="5"/>
    </row>
    <row r="23" spans="1:10" x14ac:dyDescent="0.35">
      <c r="D23" t="s">
        <v>214</v>
      </c>
      <c r="E23" s="5" t="s">
        <v>192</v>
      </c>
      <c r="F23" s="5" t="s">
        <v>193</v>
      </c>
      <c r="G23" s="5" t="s">
        <v>203</v>
      </c>
      <c r="H23" s="5" t="s">
        <v>187</v>
      </c>
      <c r="I23" s="5" t="s">
        <v>210</v>
      </c>
      <c r="J23" t="s">
        <v>215</v>
      </c>
    </row>
    <row r="24" spans="1:10" x14ac:dyDescent="0.35">
      <c r="E24" s="5" t="s">
        <v>192</v>
      </c>
      <c r="F24" s="5" t="s">
        <v>193</v>
      </c>
      <c r="G24" s="5" t="s">
        <v>203</v>
      </c>
      <c r="H24" s="5" t="s">
        <v>187</v>
      </c>
      <c r="I24" s="5" t="s">
        <v>210</v>
      </c>
      <c r="J24" t="s">
        <v>216</v>
      </c>
    </row>
    <row r="25" spans="1:10" x14ac:dyDescent="0.35">
      <c r="E25" s="5"/>
      <c r="F25" s="5"/>
      <c r="G25" s="5"/>
      <c r="H25" s="5"/>
      <c r="I25" s="5"/>
    </row>
    <row r="26" spans="1:10" x14ac:dyDescent="0.35">
      <c r="E26" s="5"/>
      <c r="F26" s="5"/>
      <c r="G26" s="5"/>
      <c r="H26" s="5"/>
      <c r="I26" s="5"/>
    </row>
    <row r="27" spans="1:10" x14ac:dyDescent="0.35">
      <c r="E27" s="5"/>
      <c r="F27" s="5"/>
      <c r="G27" s="5"/>
      <c r="H27" s="5"/>
      <c r="I27" s="5"/>
    </row>
    <row r="28" spans="1:10" x14ac:dyDescent="0.35">
      <c r="D28" s="9" t="s">
        <v>217</v>
      </c>
      <c r="E28" s="5" t="s">
        <v>192</v>
      </c>
      <c r="F28" s="5" t="s">
        <v>193</v>
      </c>
      <c r="G28" s="5" t="s">
        <v>203</v>
      </c>
      <c r="H28" s="5" t="s">
        <v>187</v>
      </c>
      <c r="I28" s="5" t="s">
        <v>219</v>
      </c>
      <c r="J28" t="s">
        <v>218</v>
      </c>
    </row>
    <row r="29" spans="1:10" x14ac:dyDescent="0.35">
      <c r="D29" t="s">
        <v>220</v>
      </c>
      <c r="E29" s="5" t="s">
        <v>192</v>
      </c>
      <c r="F29" s="5" t="s">
        <v>193</v>
      </c>
      <c r="G29" s="5" t="s">
        <v>203</v>
      </c>
      <c r="H29" s="5" t="s">
        <v>187</v>
      </c>
      <c r="I29" s="5" t="s">
        <v>210</v>
      </c>
      <c r="J29" t="s">
        <v>221</v>
      </c>
    </row>
    <row r="30" spans="1:10" x14ac:dyDescent="0.35">
      <c r="A30">
        <v>3.4948145836198999E-2</v>
      </c>
      <c r="B30">
        <v>2.64416438163734E-2</v>
      </c>
      <c r="C30" t="s">
        <v>222</v>
      </c>
      <c r="D30" t="s">
        <v>220</v>
      </c>
      <c r="E30" s="5" t="s">
        <v>192</v>
      </c>
      <c r="F30" s="5" t="s">
        <v>193</v>
      </c>
      <c r="G30" s="5" t="s">
        <v>203</v>
      </c>
      <c r="H30" s="5" t="s">
        <v>187</v>
      </c>
      <c r="I30" s="5" t="s">
        <v>210</v>
      </c>
      <c r="J30" t="s">
        <v>223</v>
      </c>
    </row>
    <row r="31" spans="1:10" x14ac:dyDescent="0.35">
      <c r="C31" t="s">
        <v>224</v>
      </c>
      <c r="D31" t="s">
        <v>220</v>
      </c>
      <c r="E31" s="5" t="s">
        <v>192</v>
      </c>
      <c r="F31" s="5" t="s">
        <v>193</v>
      </c>
      <c r="G31" s="5" t="s">
        <v>203</v>
      </c>
      <c r="H31" s="5" t="s">
        <v>187</v>
      </c>
      <c r="I31" s="5" t="s">
        <v>210</v>
      </c>
      <c r="J31" t="s">
        <v>225</v>
      </c>
    </row>
    <row r="32" spans="1:10" x14ac:dyDescent="0.35">
      <c r="E32" s="5" t="s">
        <v>192</v>
      </c>
      <c r="F32" s="5" t="s">
        <v>193</v>
      </c>
      <c r="G32" s="5" t="s">
        <v>203</v>
      </c>
      <c r="H32" s="5" t="s">
        <v>187</v>
      </c>
      <c r="I32" s="5" t="s">
        <v>210</v>
      </c>
      <c r="J32" t="s">
        <v>226</v>
      </c>
    </row>
    <row r="33" spans="1:15" x14ac:dyDescent="0.35">
      <c r="E33" s="5" t="s">
        <v>192</v>
      </c>
      <c r="F33" s="5" t="s">
        <v>193</v>
      </c>
      <c r="G33" s="5" t="s">
        <v>203</v>
      </c>
      <c r="H33" s="5" t="s">
        <v>187</v>
      </c>
      <c r="I33" s="5" t="s">
        <v>227</v>
      </c>
      <c r="J33" t="s">
        <v>228</v>
      </c>
    </row>
    <row r="34" spans="1:15" x14ac:dyDescent="0.35">
      <c r="E34" s="5" t="s">
        <v>192</v>
      </c>
      <c r="F34" s="5" t="s">
        <v>193</v>
      </c>
      <c r="G34" s="5" t="s">
        <v>203</v>
      </c>
      <c r="H34" s="5" t="s">
        <v>187</v>
      </c>
      <c r="I34" s="5" t="s">
        <v>230</v>
      </c>
      <c r="J34" t="s">
        <v>229</v>
      </c>
    </row>
    <row r="36" spans="1:15" x14ac:dyDescent="0.35">
      <c r="E36" s="5" t="s">
        <v>192</v>
      </c>
      <c r="F36" s="5" t="s">
        <v>193</v>
      </c>
      <c r="G36" s="5" t="s">
        <v>203</v>
      </c>
      <c r="H36" s="5" t="s">
        <v>237</v>
      </c>
      <c r="I36" s="5" t="s">
        <v>231</v>
      </c>
      <c r="J36" t="s">
        <v>232</v>
      </c>
    </row>
    <row r="37" spans="1:15" x14ac:dyDescent="0.35">
      <c r="C37" t="s">
        <v>244</v>
      </c>
      <c r="D37" t="s">
        <v>245</v>
      </c>
      <c r="E37" s="5" t="s">
        <v>192</v>
      </c>
      <c r="F37" s="5" t="s">
        <v>193</v>
      </c>
      <c r="G37" s="5" t="s">
        <v>203</v>
      </c>
      <c r="H37" s="5" t="s">
        <v>237</v>
      </c>
      <c r="I37" s="5" t="s">
        <v>234</v>
      </c>
      <c r="J37" t="s">
        <v>233</v>
      </c>
    </row>
    <row r="38" spans="1:15" x14ac:dyDescent="0.35">
      <c r="E38" s="5" t="s">
        <v>192</v>
      </c>
      <c r="F38" s="5" t="s">
        <v>193</v>
      </c>
      <c r="G38" s="5" t="s">
        <v>203</v>
      </c>
      <c r="H38" s="5" t="s">
        <v>237</v>
      </c>
      <c r="I38" s="5" t="s">
        <v>236</v>
      </c>
      <c r="J38" t="s">
        <v>235</v>
      </c>
    </row>
    <row r="39" spans="1:15" x14ac:dyDescent="0.35">
      <c r="E39" s="5" t="s">
        <v>192</v>
      </c>
      <c r="F39" s="5" t="s">
        <v>193</v>
      </c>
      <c r="G39" s="5" t="s">
        <v>203</v>
      </c>
      <c r="H39" s="5" t="s">
        <v>182</v>
      </c>
      <c r="I39" s="5" t="s">
        <v>236</v>
      </c>
      <c r="J39" t="s">
        <v>239</v>
      </c>
    </row>
    <row r="40" spans="1:15" x14ac:dyDescent="0.35">
      <c r="E40" s="5" t="s">
        <v>192</v>
      </c>
      <c r="F40" s="5" t="s">
        <v>193</v>
      </c>
      <c r="G40" s="5" t="s">
        <v>203</v>
      </c>
      <c r="H40" s="5" t="s">
        <v>182</v>
      </c>
      <c r="I40" s="5" t="s">
        <v>240</v>
      </c>
      <c r="J40" t="s">
        <v>238</v>
      </c>
    </row>
    <row r="41" spans="1:15" x14ac:dyDescent="0.35">
      <c r="C41" t="s">
        <v>244</v>
      </c>
      <c r="D41" t="s">
        <v>243</v>
      </c>
      <c r="E41" s="5" t="s">
        <v>192</v>
      </c>
      <c r="F41" s="5" t="s">
        <v>193</v>
      </c>
      <c r="G41" s="5" t="s">
        <v>203</v>
      </c>
      <c r="H41" s="5" t="s">
        <v>182</v>
      </c>
      <c r="I41" s="5" t="s">
        <v>241</v>
      </c>
      <c r="J41" t="s">
        <v>242</v>
      </c>
    </row>
    <row r="42" spans="1:15" x14ac:dyDescent="0.35">
      <c r="E42" s="5"/>
      <c r="F42" s="5"/>
      <c r="G42" s="5"/>
      <c r="H42" s="5"/>
      <c r="I42" s="5"/>
    </row>
    <row r="43" spans="1:15" x14ac:dyDescent="0.35">
      <c r="E43" s="5"/>
      <c r="F43" s="5"/>
      <c r="G43" s="5"/>
      <c r="H43" s="5"/>
      <c r="I43" s="5"/>
    </row>
    <row r="44" spans="1:15" x14ac:dyDescent="0.35">
      <c r="E44" s="5"/>
      <c r="F44" s="5"/>
      <c r="G44" s="5"/>
      <c r="H44" s="5"/>
      <c r="I44" s="5"/>
      <c r="M44" t="s">
        <v>254</v>
      </c>
      <c r="N44" t="s">
        <v>299</v>
      </c>
      <c r="O44" t="s">
        <v>265</v>
      </c>
    </row>
    <row r="45" spans="1:15" x14ac:dyDescent="0.35">
      <c r="A45">
        <v>1</v>
      </c>
      <c r="E45" s="10" t="s">
        <v>257</v>
      </c>
      <c r="F45" s="5" t="s">
        <v>193</v>
      </c>
      <c r="G45" s="5" t="s">
        <v>203</v>
      </c>
      <c r="H45" s="5" t="s">
        <v>248</v>
      </c>
      <c r="I45" s="5" t="s">
        <v>249</v>
      </c>
      <c r="K45" s="5" t="s">
        <v>250</v>
      </c>
      <c r="L45" t="s">
        <v>253</v>
      </c>
      <c r="M45" t="s">
        <v>255</v>
      </c>
      <c r="O45" t="s">
        <v>266</v>
      </c>
    </row>
    <row r="46" spans="1:15" x14ac:dyDescent="0.35">
      <c r="E46" s="5"/>
      <c r="F46" s="5"/>
      <c r="G46" s="5"/>
      <c r="H46" s="5"/>
      <c r="I46" s="5"/>
      <c r="K46" s="5"/>
    </row>
    <row r="47" spans="1:15" x14ac:dyDescent="0.35">
      <c r="A47">
        <v>2</v>
      </c>
      <c r="E47" s="5" t="s">
        <v>257</v>
      </c>
      <c r="F47" s="5" t="s">
        <v>193</v>
      </c>
      <c r="G47" s="5" t="s">
        <v>258</v>
      </c>
      <c r="H47" s="5" t="s">
        <v>248</v>
      </c>
      <c r="I47" s="5" t="s">
        <v>249</v>
      </c>
      <c r="K47" s="5" t="s">
        <v>251</v>
      </c>
      <c r="L47" t="s">
        <v>252</v>
      </c>
      <c r="M47" t="s">
        <v>256</v>
      </c>
    </row>
    <row r="49" spans="1:15" x14ac:dyDescent="0.35">
      <c r="A49">
        <v>3</v>
      </c>
      <c r="D49" t="s">
        <v>259</v>
      </c>
      <c r="E49" s="1"/>
      <c r="L49" t="s">
        <v>260</v>
      </c>
      <c r="M49" t="s">
        <v>278</v>
      </c>
      <c r="N49" t="s">
        <v>300</v>
      </c>
      <c r="O49" t="s">
        <v>267</v>
      </c>
    </row>
    <row r="51" spans="1:15" x14ac:dyDescent="0.35">
      <c r="A51">
        <v>4</v>
      </c>
      <c r="L51" t="s">
        <v>262</v>
      </c>
      <c r="M51" t="s">
        <v>277</v>
      </c>
    </row>
    <row r="53" spans="1:15" x14ac:dyDescent="0.35">
      <c r="A53">
        <v>5</v>
      </c>
      <c r="D53" t="s">
        <v>261</v>
      </c>
      <c r="E53" s="1"/>
      <c r="L53" t="s">
        <v>264</v>
      </c>
      <c r="M53" t="s">
        <v>279</v>
      </c>
    </row>
    <row r="55" spans="1:15" x14ac:dyDescent="0.35">
      <c r="A55">
        <v>6</v>
      </c>
      <c r="L55" t="s">
        <v>263</v>
      </c>
      <c r="M55" t="s">
        <v>280</v>
      </c>
    </row>
    <row r="56" spans="1:15" x14ac:dyDescent="0.35">
      <c r="J56" t="s">
        <v>293</v>
      </c>
      <c r="K56" t="s">
        <v>292</v>
      </c>
      <c r="M56" t="s">
        <v>154</v>
      </c>
      <c r="N56" t="s">
        <v>289</v>
      </c>
    </row>
    <row r="57" spans="1:15" x14ac:dyDescent="0.35">
      <c r="A57">
        <v>7</v>
      </c>
      <c r="D57" t="s">
        <v>281</v>
      </c>
      <c r="J57" t="s">
        <v>294</v>
      </c>
      <c r="K57" t="s">
        <v>291</v>
      </c>
      <c r="L57" t="s">
        <v>282</v>
      </c>
      <c r="M57" t="s">
        <v>283</v>
      </c>
      <c r="N57" t="s">
        <v>290</v>
      </c>
    </row>
    <row r="59" spans="1:15" x14ac:dyDescent="0.35">
      <c r="A59">
        <v>8</v>
      </c>
    </row>
    <row r="61" spans="1:15" x14ac:dyDescent="0.35">
      <c r="A61">
        <v>9</v>
      </c>
      <c r="L61" t="s">
        <v>288</v>
      </c>
    </row>
    <row r="65" spans="1:12" x14ac:dyDescent="0.35">
      <c r="A65" t="s">
        <v>268</v>
      </c>
      <c r="E65" t="s">
        <v>274</v>
      </c>
    </row>
    <row r="66" spans="1:12" x14ac:dyDescent="0.35">
      <c r="A66" t="s">
        <v>43</v>
      </c>
      <c r="B66" t="s">
        <v>269</v>
      </c>
      <c r="C66" t="s">
        <v>270</v>
      </c>
      <c r="D66" t="s">
        <v>273</v>
      </c>
      <c r="E66" t="s">
        <v>271</v>
      </c>
      <c r="F66" t="s">
        <v>272</v>
      </c>
      <c r="G66" t="s">
        <v>276</v>
      </c>
      <c r="H66" t="s">
        <v>275</v>
      </c>
      <c r="I66" t="s">
        <v>287</v>
      </c>
      <c r="J66" t="s">
        <v>286</v>
      </c>
    </row>
    <row r="67" spans="1:12" x14ac:dyDescent="0.35">
      <c r="A67">
        <v>1</v>
      </c>
      <c r="B67">
        <v>2.9951596730345201E-2</v>
      </c>
      <c r="C67">
        <v>7.8369025770323703E-2</v>
      </c>
      <c r="D67" t="s">
        <v>86</v>
      </c>
    </row>
    <row r="68" spans="1:12" x14ac:dyDescent="0.35">
      <c r="A68">
        <v>2</v>
      </c>
      <c r="B68">
        <v>2.96871827852189E-2</v>
      </c>
      <c r="C68">
        <v>7.8947897191208205E-2</v>
      </c>
      <c r="D68" t="s">
        <v>86</v>
      </c>
    </row>
    <row r="69" spans="1:12" x14ac:dyDescent="0.35">
      <c r="A69">
        <v>3</v>
      </c>
      <c r="B69">
        <v>2.6858716073868499E-2</v>
      </c>
      <c r="C69">
        <v>4.2148103514955501E-2</v>
      </c>
      <c r="D69" t="s">
        <v>14</v>
      </c>
      <c r="E69">
        <v>5.4155887113576703E-2</v>
      </c>
      <c r="F69">
        <v>0.14357472857020501</v>
      </c>
      <c r="G69" s="5" t="s">
        <v>110</v>
      </c>
    </row>
    <row r="70" spans="1:12" x14ac:dyDescent="0.35">
      <c r="A70">
        <v>4</v>
      </c>
      <c r="B70">
        <v>2.6922346914751299E-2</v>
      </c>
      <c r="C70">
        <v>4.16314641462159E-2</v>
      </c>
      <c r="D70" t="s">
        <v>14</v>
      </c>
    </row>
    <row r="71" spans="1:12" x14ac:dyDescent="0.35">
      <c r="A71">
        <v>5</v>
      </c>
      <c r="B71">
        <v>2.8609232945886399E-2</v>
      </c>
      <c r="C71">
        <v>4.1575399397873497E-2</v>
      </c>
      <c r="D71" t="s">
        <v>14</v>
      </c>
      <c r="E71">
        <v>7.1664325363159004E-2</v>
      </c>
      <c r="F71">
        <v>0.21303453678016401</v>
      </c>
      <c r="G71" t="s">
        <v>296</v>
      </c>
    </row>
    <row r="72" spans="1:12" x14ac:dyDescent="0.35">
      <c r="A72">
        <v>6</v>
      </c>
      <c r="B72">
        <v>2.7853004634604502E-2</v>
      </c>
      <c r="C72">
        <v>4.3818577452162201E-2</v>
      </c>
      <c r="D72" t="s">
        <v>86</v>
      </c>
    </row>
    <row r="73" spans="1:12" x14ac:dyDescent="0.35">
      <c r="A73" t="s">
        <v>295</v>
      </c>
      <c r="B73">
        <v>4.3424956387389697E-2</v>
      </c>
      <c r="C73">
        <v>8.1517750364158495E-2</v>
      </c>
      <c r="D73" t="s">
        <v>284</v>
      </c>
      <c r="E73">
        <v>4.17200116004868E-2</v>
      </c>
      <c r="F73">
        <v>0.116711132909235</v>
      </c>
      <c r="G73" s="5" t="s">
        <v>110</v>
      </c>
    </row>
    <row r="74" spans="1:12" x14ac:dyDescent="0.35">
      <c r="A74">
        <v>7</v>
      </c>
      <c r="B74">
        <v>2.9734748291093401E-2</v>
      </c>
      <c r="C74">
        <v>5.0716512099468099E-2</v>
      </c>
      <c r="D74" t="s">
        <v>284</v>
      </c>
      <c r="E74">
        <v>4.9022450944773401E-2</v>
      </c>
      <c r="F74">
        <v>0.204861675119414</v>
      </c>
      <c r="G74" s="5" t="s">
        <v>110</v>
      </c>
      <c r="I74">
        <v>9.2802756261311001E-2</v>
      </c>
      <c r="J74" s="5" t="s">
        <v>285</v>
      </c>
    </row>
    <row r="75" spans="1:12" x14ac:dyDescent="0.35">
      <c r="A75">
        <v>8</v>
      </c>
    </row>
    <row r="76" spans="1:12" x14ac:dyDescent="0.35">
      <c r="A76">
        <v>9</v>
      </c>
      <c r="B76">
        <v>3.17798548884453E-2</v>
      </c>
      <c r="C76">
        <v>5.0903767582567101E-2</v>
      </c>
      <c r="D76" t="s">
        <v>284</v>
      </c>
      <c r="E76">
        <v>5.9901491297616703E-2</v>
      </c>
      <c r="F76">
        <v>0.194036396710519</v>
      </c>
      <c r="G76" s="5" t="s">
        <v>113</v>
      </c>
    </row>
    <row r="78" spans="1:12" x14ac:dyDescent="0.35">
      <c r="A78" t="s">
        <v>297</v>
      </c>
    </row>
    <row r="79" spans="1:12" ht="15" thickBot="1" x14ac:dyDescent="0.4">
      <c r="A79" t="s">
        <v>43</v>
      </c>
      <c r="B79" s="12" t="s">
        <v>298</v>
      </c>
      <c r="C79" s="12" t="s">
        <v>147</v>
      </c>
      <c r="D79" s="12" t="s">
        <v>269</v>
      </c>
      <c r="E79" s="12" t="s">
        <v>270</v>
      </c>
      <c r="F79" s="12" t="s">
        <v>273</v>
      </c>
      <c r="G79" s="12" t="s">
        <v>271</v>
      </c>
      <c r="H79" s="12" t="s">
        <v>272</v>
      </c>
      <c r="I79" s="12" t="s">
        <v>276</v>
      </c>
      <c r="J79" s="12" t="s">
        <v>303</v>
      </c>
      <c r="K79" s="12" t="s">
        <v>71</v>
      </c>
      <c r="L79" s="12" t="s">
        <v>304</v>
      </c>
    </row>
    <row r="80" spans="1:12" x14ac:dyDescent="0.35">
      <c r="B80" s="5" t="s">
        <v>302</v>
      </c>
      <c r="C80" s="5"/>
      <c r="D80" s="16">
        <v>2.6858716073868499E-2</v>
      </c>
      <c r="E80" s="16">
        <v>4.2148103514955501E-2</v>
      </c>
      <c r="F80" s="16" t="s">
        <v>14</v>
      </c>
      <c r="G80" s="16">
        <v>5.4155887113576703E-2</v>
      </c>
      <c r="H80" s="16">
        <v>0.14357472857020501</v>
      </c>
      <c r="I80" s="13" t="s">
        <v>110</v>
      </c>
      <c r="J80" s="13"/>
      <c r="K80" s="13"/>
      <c r="L80" s="13"/>
    </row>
    <row r="81" spans="1:12" x14ac:dyDescent="0.35">
      <c r="B81" s="5" t="s">
        <v>369</v>
      </c>
      <c r="C81" s="5" t="s">
        <v>301</v>
      </c>
      <c r="D81" s="17">
        <v>2.8975641468313398E-2</v>
      </c>
      <c r="E81" s="17">
        <v>4.60426662971017E-2</v>
      </c>
      <c r="F81" s="17" t="s">
        <v>86</v>
      </c>
      <c r="G81" s="17">
        <v>6.2370520099555099E-2</v>
      </c>
      <c r="H81" s="17">
        <v>0.18692397245578399</v>
      </c>
      <c r="I81" s="13" t="s">
        <v>110</v>
      </c>
      <c r="J81" s="17">
        <v>4.6496511534789398E-2</v>
      </c>
      <c r="K81" s="17">
        <v>0.108220037897788</v>
      </c>
      <c r="L81" s="17" t="s">
        <v>305</v>
      </c>
    </row>
    <row r="82" spans="1:12" x14ac:dyDescent="0.35">
      <c r="B82" s="5"/>
      <c r="C82" s="16"/>
      <c r="D82" s="16"/>
      <c r="E82" s="16"/>
      <c r="F82" s="16"/>
      <c r="G82" s="16"/>
      <c r="H82" s="16"/>
      <c r="I82" s="13"/>
      <c r="J82" s="13"/>
      <c r="K82" s="13"/>
      <c r="L82" s="13"/>
    </row>
    <row r="83" spans="1:12" x14ac:dyDescent="0.35">
      <c r="B83" s="17" t="s">
        <v>322</v>
      </c>
      <c r="C83" s="17" t="s">
        <v>323</v>
      </c>
      <c r="D83" s="17">
        <v>3.7801566061355402E-2</v>
      </c>
      <c r="E83" s="17">
        <v>9.9715279772255E-2</v>
      </c>
      <c r="F83" s="17"/>
      <c r="G83" s="17">
        <v>6.5175886526018995E-2</v>
      </c>
      <c r="H83" s="17"/>
      <c r="I83" s="17"/>
      <c r="J83" s="17"/>
      <c r="K83" s="17"/>
      <c r="L83" s="17"/>
    </row>
    <row r="84" spans="1:12" x14ac:dyDescent="0.35">
      <c r="B84" s="16"/>
      <c r="C84" s="16"/>
      <c r="D84" s="16">
        <v>3.3673985147295499E-2</v>
      </c>
      <c r="E84" s="16" t="s">
        <v>324</v>
      </c>
      <c r="F84" s="16"/>
      <c r="G84" s="16"/>
      <c r="H84" s="16"/>
      <c r="I84" s="16"/>
      <c r="J84" s="16"/>
      <c r="K84" s="16"/>
      <c r="L84" s="16"/>
    </row>
    <row r="85" spans="1:12" x14ac:dyDescent="0.35">
      <c r="A85" t="s">
        <v>329</v>
      </c>
      <c r="B85" s="5" t="s">
        <v>370</v>
      </c>
      <c r="C85" s="17" t="s">
        <v>330</v>
      </c>
      <c r="D85" s="17"/>
      <c r="E85" s="17"/>
      <c r="F85" s="17"/>
      <c r="G85" s="17"/>
      <c r="H85" s="17"/>
      <c r="I85" s="17"/>
      <c r="J85" s="17"/>
      <c r="K85" s="17"/>
      <c r="L85" s="17"/>
    </row>
    <row r="86" spans="1:12" x14ac:dyDescent="0.35">
      <c r="B86" s="5"/>
      <c r="C86" s="16" t="s">
        <v>331</v>
      </c>
      <c r="D86" s="16"/>
      <c r="E86" s="16"/>
      <c r="F86" s="16"/>
      <c r="G86" s="16"/>
      <c r="H86" s="16"/>
      <c r="I86" s="13"/>
      <c r="J86" s="13"/>
      <c r="K86" s="13"/>
      <c r="L86" s="13"/>
    </row>
    <row r="87" spans="1:12" x14ac:dyDescent="0.35">
      <c r="A87" t="s">
        <v>332</v>
      </c>
      <c r="B87" s="17" t="s">
        <v>337</v>
      </c>
      <c r="C87" s="17" t="s">
        <v>334</v>
      </c>
      <c r="D87" s="17"/>
      <c r="E87" s="17"/>
      <c r="F87" s="17"/>
      <c r="G87" s="17"/>
      <c r="H87" s="17"/>
      <c r="I87" s="14"/>
      <c r="J87" s="14"/>
      <c r="K87" s="14"/>
      <c r="L87" s="14"/>
    </row>
    <row r="88" spans="1:12" x14ac:dyDescent="0.35">
      <c r="B88" s="5" t="s">
        <v>336</v>
      </c>
      <c r="C88" s="16" t="s">
        <v>335</v>
      </c>
      <c r="D88" s="16"/>
      <c r="E88" s="16"/>
      <c r="F88" s="16"/>
      <c r="G88" s="16"/>
      <c r="H88" s="16"/>
      <c r="I88" s="16"/>
      <c r="J88" s="16"/>
      <c r="K88" s="16"/>
      <c r="L88" s="16"/>
    </row>
    <row r="89" spans="1:12" x14ac:dyDescent="0.35">
      <c r="B89" s="17"/>
      <c r="C89" s="17"/>
      <c r="D89" s="17"/>
      <c r="E89" s="17"/>
      <c r="F89" s="17"/>
      <c r="G89" s="17"/>
      <c r="H89" s="17"/>
      <c r="I89" s="14"/>
      <c r="J89" s="14"/>
      <c r="K89" s="14"/>
      <c r="L89" s="14"/>
    </row>
    <row r="90" spans="1:12" x14ac:dyDescent="0.35">
      <c r="A90">
        <v>-1</v>
      </c>
      <c r="B90" s="5" t="s">
        <v>373</v>
      </c>
      <c r="C90" t="s">
        <v>371</v>
      </c>
      <c r="I90" s="5"/>
      <c r="J90" s="5"/>
      <c r="K90" s="5"/>
      <c r="L90" s="5"/>
    </row>
    <row r="91" spans="1:12" x14ac:dyDescent="0.35">
      <c r="A91">
        <v>-1</v>
      </c>
      <c r="B91" s="5" t="s">
        <v>373</v>
      </c>
      <c r="I91" s="5"/>
      <c r="J91" s="5"/>
      <c r="K91" s="5"/>
      <c r="L91" s="5"/>
    </row>
    <row r="92" spans="1:12" x14ac:dyDescent="0.35">
      <c r="B92" s="5"/>
      <c r="D92" t="s">
        <v>384</v>
      </c>
      <c r="E92" t="s">
        <v>390</v>
      </c>
      <c r="I92" s="5"/>
      <c r="J92" s="5"/>
      <c r="K92" s="5"/>
      <c r="L92" s="5"/>
    </row>
    <row r="93" spans="1:12" x14ac:dyDescent="0.35">
      <c r="A93" t="s">
        <v>374</v>
      </c>
      <c r="B93" s="5" t="s">
        <v>247</v>
      </c>
      <c r="C93" t="s">
        <v>375</v>
      </c>
      <c r="D93" t="s">
        <v>383</v>
      </c>
    </row>
    <row r="94" spans="1:12" x14ac:dyDescent="0.35">
      <c r="B94" s="5" t="s">
        <v>376</v>
      </c>
      <c r="C94" t="s">
        <v>378</v>
      </c>
      <c r="D94" t="s">
        <v>385</v>
      </c>
    </row>
    <row r="95" spans="1:12" x14ac:dyDescent="0.35">
      <c r="B95" s="5" t="s">
        <v>377</v>
      </c>
      <c r="C95" t="s">
        <v>379</v>
      </c>
    </row>
    <row r="96" spans="1:12" x14ac:dyDescent="0.35">
      <c r="B96" s="5" t="s">
        <v>380</v>
      </c>
      <c r="C96" t="s">
        <v>382</v>
      </c>
    </row>
    <row r="97" spans="1:5" x14ac:dyDescent="0.35">
      <c r="B97" s="5" t="s">
        <v>381</v>
      </c>
      <c r="C97" t="s">
        <v>386</v>
      </c>
      <c r="D97" t="s">
        <v>387</v>
      </c>
    </row>
    <row r="98" spans="1:5" x14ac:dyDescent="0.35">
      <c r="B98" s="5" t="s">
        <v>388</v>
      </c>
      <c r="D98" t="s">
        <v>389</v>
      </c>
    </row>
    <row r="99" spans="1:5" x14ac:dyDescent="0.35">
      <c r="B99" s="5" t="s">
        <v>392</v>
      </c>
      <c r="E99" t="s">
        <v>391</v>
      </c>
    </row>
    <row r="100" spans="1:5" x14ac:dyDescent="0.35">
      <c r="B100" s="5"/>
    </row>
    <row r="101" spans="1:5" x14ac:dyDescent="0.35">
      <c r="B101" t="s">
        <v>313</v>
      </c>
      <c r="C101" t="s">
        <v>103</v>
      </c>
      <c r="D101" t="s">
        <v>87</v>
      </c>
      <c r="E101" t="s">
        <v>317</v>
      </c>
    </row>
    <row r="102" spans="1:5" x14ac:dyDescent="0.35">
      <c r="A102" t="s">
        <v>311</v>
      </c>
      <c r="B102" t="s">
        <v>312</v>
      </c>
      <c r="C102" t="s">
        <v>314</v>
      </c>
      <c r="D102" t="s">
        <v>315</v>
      </c>
      <c r="E102" t="s">
        <v>316</v>
      </c>
    </row>
    <row r="103" spans="1:5" x14ac:dyDescent="0.35">
      <c r="A103" s="17" t="s">
        <v>325</v>
      </c>
      <c r="B103" t="s">
        <v>326</v>
      </c>
      <c r="C103" t="s">
        <v>327</v>
      </c>
      <c r="D103" t="s">
        <v>328</v>
      </c>
    </row>
    <row r="105" spans="1:5" x14ac:dyDescent="0.35">
      <c r="A105" t="s">
        <v>318</v>
      </c>
      <c r="B105" t="s">
        <v>91</v>
      </c>
      <c r="C105" t="s">
        <v>92</v>
      </c>
      <c r="D105" t="s">
        <v>87</v>
      </c>
      <c r="E105" t="s">
        <v>101</v>
      </c>
    </row>
    <row r="106" spans="1:5" x14ac:dyDescent="0.35">
      <c r="A106" t="s">
        <v>1</v>
      </c>
      <c r="B106">
        <v>0.14544200778906999</v>
      </c>
      <c r="C106">
        <v>1.0683439643496899E-2</v>
      </c>
      <c r="D106">
        <v>-6.14808079813925E-2</v>
      </c>
      <c r="E106">
        <v>1.5739232788997899E-4</v>
      </c>
    </row>
    <row r="107" spans="1:5" x14ac:dyDescent="0.35">
      <c r="A107" t="s">
        <v>8</v>
      </c>
      <c r="B107">
        <v>-1.1927784860733599</v>
      </c>
      <c r="C107">
        <v>1.1458247757004001E-2</v>
      </c>
      <c r="D107">
        <v>-8.4583024295960402E-3</v>
      </c>
      <c r="E107">
        <v>1.6724013588380001E-4</v>
      </c>
    </row>
    <row r="108" spans="1:5" x14ac:dyDescent="0.35">
      <c r="A108" t="s">
        <v>103</v>
      </c>
      <c r="B108">
        <v>-6.7032258256516197</v>
      </c>
      <c r="C108">
        <v>1.34334326938282E-2</v>
      </c>
      <c r="D108">
        <v>3.5324407305334003E-2</v>
      </c>
      <c r="E108">
        <v>1.6759054663535501E-3</v>
      </c>
    </row>
    <row r="109" spans="1:5" x14ac:dyDescent="0.35">
      <c r="A109" t="s">
        <v>87</v>
      </c>
      <c r="B109">
        <v>5.4410060907489104</v>
      </c>
      <c r="C109">
        <v>-5.1354665075080103E-2</v>
      </c>
      <c r="D109">
        <v>0.14125932901922</v>
      </c>
      <c r="E109">
        <v>2.6320850844137201E-3</v>
      </c>
    </row>
    <row r="111" spans="1:5" x14ac:dyDescent="0.35">
      <c r="A111" t="s">
        <v>33</v>
      </c>
      <c r="B111" t="s">
        <v>130</v>
      </c>
      <c r="C111" t="s">
        <v>321</v>
      </c>
      <c r="D111" t="s">
        <v>319</v>
      </c>
      <c r="E111" t="s">
        <v>320</v>
      </c>
    </row>
    <row r="112" spans="1:5" x14ac:dyDescent="0.35">
      <c r="B112">
        <v>0.16499191915814099</v>
      </c>
      <c r="C112">
        <v>-1.0195727412853099</v>
      </c>
      <c r="D112">
        <v>10.6671254654668</v>
      </c>
      <c r="E112">
        <v>-7.9567758192206499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FD191-0522-4B29-B4DF-C46DD3E95E18}">
  <dimension ref="A1:AC42"/>
  <sheetViews>
    <sheetView topLeftCell="A27" zoomScale="72" zoomScaleNormal="100" workbookViewId="0">
      <selection activeCell="B43" sqref="B43"/>
    </sheetView>
  </sheetViews>
  <sheetFormatPr defaultRowHeight="14.5" x14ac:dyDescent="0.35"/>
  <cols>
    <col min="1" max="1" width="20.6328125" customWidth="1"/>
    <col min="14" max="14" width="11.90625" customWidth="1"/>
  </cols>
  <sheetData>
    <row r="1" spans="1:19" x14ac:dyDescent="0.35">
      <c r="A1">
        <v>4</v>
      </c>
      <c r="B1">
        <v>5</v>
      </c>
      <c r="C1">
        <v>6</v>
      </c>
      <c r="D1">
        <v>7</v>
      </c>
      <c r="E1">
        <v>8</v>
      </c>
      <c r="F1">
        <v>9</v>
      </c>
      <c r="G1">
        <v>10</v>
      </c>
      <c r="H1">
        <v>11</v>
      </c>
      <c r="I1">
        <v>12</v>
      </c>
      <c r="J1">
        <v>13</v>
      </c>
      <c r="K1">
        <v>14</v>
      </c>
      <c r="L1">
        <v>15</v>
      </c>
      <c r="M1">
        <v>16</v>
      </c>
      <c r="N1">
        <v>17</v>
      </c>
      <c r="O1" s="5" t="s">
        <v>110</v>
      </c>
      <c r="P1" t="s">
        <v>123</v>
      </c>
      <c r="Q1" t="s">
        <v>111</v>
      </c>
      <c r="R1" t="s">
        <v>112</v>
      </c>
      <c r="S1" t="s">
        <v>113</v>
      </c>
    </row>
    <row r="2" spans="1:19" x14ac:dyDescent="0.35">
      <c r="A2">
        <v>1.9139999999999999</v>
      </c>
      <c r="B2">
        <v>2.4142000000000001</v>
      </c>
      <c r="C2">
        <v>2.9142000000000001</v>
      </c>
      <c r="D2">
        <v>3.4142000000000001</v>
      </c>
      <c r="E2">
        <f>C2+1</f>
        <v>3.9142000000000001</v>
      </c>
      <c r="F2">
        <f>D2+1</f>
        <v>4.4142000000000001</v>
      </c>
      <c r="G2">
        <f t="shared" ref="G2:N2" si="0">E2+1</f>
        <v>4.9142000000000001</v>
      </c>
      <c r="H2">
        <f t="shared" si="0"/>
        <v>5.4142000000000001</v>
      </c>
      <c r="I2">
        <f t="shared" si="0"/>
        <v>5.9142000000000001</v>
      </c>
      <c r="J2">
        <f t="shared" si="0"/>
        <v>6.4142000000000001</v>
      </c>
      <c r="K2">
        <f t="shared" si="0"/>
        <v>6.9142000000000001</v>
      </c>
      <c r="L2">
        <f t="shared" si="0"/>
        <v>7.4142000000000001</v>
      </c>
      <c r="M2">
        <f t="shared" si="0"/>
        <v>7.9142000000000001</v>
      </c>
      <c r="N2">
        <f t="shared" si="0"/>
        <v>8.414200000000001</v>
      </c>
      <c r="P2">
        <v>1.7321</v>
      </c>
      <c r="Q2">
        <v>2.2510500000000002</v>
      </c>
      <c r="R2">
        <v>2.77</v>
      </c>
    </row>
    <row r="5" spans="1:19" x14ac:dyDescent="0.35">
      <c r="A5">
        <v>5</v>
      </c>
      <c r="B5">
        <v>6</v>
      </c>
      <c r="C5">
        <v>8</v>
      </c>
      <c r="D5">
        <v>10</v>
      </c>
      <c r="E5">
        <v>12</v>
      </c>
      <c r="F5">
        <v>13</v>
      </c>
      <c r="G5">
        <v>15</v>
      </c>
      <c r="H5">
        <v>16</v>
      </c>
      <c r="I5">
        <v>17</v>
      </c>
    </row>
    <row r="6" spans="1:19" x14ac:dyDescent="0.35">
      <c r="A6">
        <v>-0.30186868598851402</v>
      </c>
      <c r="B6">
        <v>-0.159671410721589</v>
      </c>
      <c r="C6">
        <v>9.2504252980589702E-2</v>
      </c>
      <c r="D6">
        <v>0.31797721594884698</v>
      </c>
      <c r="E6">
        <v>0.56279462826972704</v>
      </c>
      <c r="F6">
        <v>0.66479709031629997</v>
      </c>
      <c r="G6">
        <v>0.88258079601218697</v>
      </c>
      <c r="H6">
        <v>0.96987972238392095</v>
      </c>
      <c r="I6">
        <v>1.0930364151504499</v>
      </c>
    </row>
    <row r="7" spans="1:19" x14ac:dyDescent="0.35">
      <c r="A7">
        <v>0.22366312536730901</v>
      </c>
      <c r="B7">
        <v>0.26732429384782702</v>
      </c>
      <c r="C7">
        <v>0.34548877137469303</v>
      </c>
      <c r="D7">
        <v>0.41490918255643899</v>
      </c>
      <c r="E7">
        <v>0.47795339467689202</v>
      </c>
      <c r="F7">
        <v>0.50757133126475196</v>
      </c>
      <c r="G7">
        <v>0.56370127812524895</v>
      </c>
      <c r="H7">
        <v>0.59043176628590699</v>
      </c>
      <c r="I7">
        <v>0.61639233390497505</v>
      </c>
      <c r="J7" t="s">
        <v>246</v>
      </c>
    </row>
    <row r="8" spans="1:19" x14ac:dyDescent="0.35">
      <c r="A8">
        <f>0.16510834+2.53403769*A7-1.34465922*A7^2</f>
        <v>0.6646122916714452</v>
      </c>
      <c r="B8">
        <f t="shared" ref="B8:I8" si="1">0.16510834+2.53403769*B7-1.34465922*B7^2</f>
        <v>0.74642576495888624</v>
      </c>
      <c r="C8">
        <f t="shared" si="1"/>
        <v>0.88008803389363477</v>
      </c>
      <c r="D8">
        <f t="shared" si="1"/>
        <v>0.98502125963575715</v>
      </c>
      <c r="E8">
        <f t="shared" si="1"/>
        <v>1.0690870469047462</v>
      </c>
      <c r="F8">
        <f t="shared" si="1"/>
        <v>1.1048904757289395</v>
      </c>
      <c r="G8">
        <f t="shared" si="1"/>
        <v>1.1662708794859489</v>
      </c>
      <c r="H8">
        <f t="shared" si="1"/>
        <v>1.1925234813351981</v>
      </c>
      <c r="I8">
        <f t="shared" si="1"/>
        <v>1.2161805817240237</v>
      </c>
    </row>
    <row r="9" spans="1:19" x14ac:dyDescent="0.35">
      <c r="A9">
        <f>15*2+(A5-2)*14</f>
        <v>72</v>
      </c>
      <c r="B9">
        <f t="shared" ref="B9:I9" si="2">15*2+(B5-2)*14</f>
        <v>86</v>
      </c>
      <c r="C9">
        <f t="shared" si="2"/>
        <v>114</v>
      </c>
      <c r="D9">
        <f t="shared" si="2"/>
        <v>142</v>
      </c>
      <c r="E9">
        <f t="shared" si="2"/>
        <v>170</v>
      </c>
      <c r="F9">
        <f t="shared" si="2"/>
        <v>184</v>
      </c>
      <c r="G9">
        <f t="shared" si="2"/>
        <v>212</v>
      </c>
      <c r="H9">
        <f t="shared" si="2"/>
        <v>226</v>
      </c>
      <c r="I9">
        <f t="shared" si="2"/>
        <v>240</v>
      </c>
      <c r="J9" t="s">
        <v>247</v>
      </c>
    </row>
    <row r="10" spans="1:19" x14ac:dyDescent="0.35">
      <c r="A10">
        <f>-1.01957274128531+A9*10.6671254654668*0.001+A9^2*-7.95677581922065*10^(-6)</f>
        <v>-0.29278763361854027</v>
      </c>
      <c r="B10">
        <f t="shared" ref="B10:I10" si="3">-1.01957274128531+B9*10.6671254654668*0.001+B9^2*-7.95677581922065*10^(-6)</f>
        <v>-0.16104826521412105</v>
      </c>
      <c r="C10">
        <f t="shared" si="3"/>
        <v>9.3073303231313825E-2</v>
      </c>
      <c r="D10">
        <f t="shared" si="3"/>
        <v>0.33471864719221034</v>
      </c>
      <c r="E10">
        <f t="shared" si="3"/>
        <v>0.5638877666685691</v>
      </c>
      <c r="F10">
        <f t="shared" si="3"/>
        <v>0.67379374222504684</v>
      </c>
      <c r="G10">
        <f t="shared" si="3"/>
        <v>0.88424852497459849</v>
      </c>
      <c r="H10">
        <f t="shared" si="3"/>
        <v>0.98479733216767307</v>
      </c>
      <c r="I10">
        <f t="shared" si="3"/>
        <v>1.0822270832396126</v>
      </c>
    </row>
    <row r="11" spans="1:19" x14ac:dyDescent="0.35">
      <c r="A11">
        <f>ABS((A10-A6)/A6)</f>
        <v>3.0082790270996453E-2</v>
      </c>
      <c r="B11">
        <f t="shared" ref="B11:I11" si="4">ABS((B10-B6)/B6)</f>
        <v>8.6230495885879378E-3</v>
      </c>
      <c r="C11">
        <f t="shared" si="4"/>
        <v>6.1516117625805607E-3</v>
      </c>
      <c r="D11">
        <f t="shared" si="4"/>
        <v>5.2649782448741717E-2</v>
      </c>
      <c r="E11">
        <f t="shared" si="4"/>
        <v>1.9423397877887391E-3</v>
      </c>
      <c r="F11">
        <f t="shared" si="4"/>
        <v>1.3532929129497863E-2</v>
      </c>
      <c r="G11">
        <f t="shared" si="4"/>
        <v>1.8896048610471808E-3</v>
      </c>
      <c r="H11">
        <f t="shared" si="4"/>
        <v>1.538088635061397E-2</v>
      </c>
      <c r="I11">
        <f t="shared" si="4"/>
        <v>9.8892697086853127E-3</v>
      </c>
      <c r="J11">
        <f>AVERAGE(A11:I11)</f>
        <v>1.5571362656504415E-2</v>
      </c>
    </row>
    <row r="13" spans="1:19" x14ac:dyDescent="0.35">
      <c r="A13" t="s">
        <v>306</v>
      </c>
      <c r="B13">
        <v>5</v>
      </c>
      <c r="C13">
        <v>6</v>
      </c>
      <c r="D13">
        <v>8</v>
      </c>
      <c r="E13">
        <v>10</v>
      </c>
      <c r="F13">
        <v>12</v>
      </c>
      <c r="G13">
        <v>13</v>
      </c>
      <c r="H13">
        <v>15</v>
      </c>
      <c r="I13">
        <v>16</v>
      </c>
      <c r="J13">
        <v>17</v>
      </c>
    </row>
    <row r="14" spans="1:19" x14ac:dyDescent="0.35">
      <c r="A14" t="s">
        <v>307</v>
      </c>
      <c r="B14">
        <f t="shared" ref="B14:J14" si="5">15*2+(B13-2)*14</f>
        <v>72</v>
      </c>
      <c r="C14">
        <f t="shared" si="5"/>
        <v>86</v>
      </c>
      <c r="D14">
        <f t="shared" si="5"/>
        <v>114</v>
      </c>
      <c r="E14">
        <f t="shared" si="5"/>
        <v>142</v>
      </c>
      <c r="F14">
        <f t="shared" si="5"/>
        <v>170</v>
      </c>
      <c r="G14">
        <f t="shared" si="5"/>
        <v>184</v>
      </c>
      <c r="H14">
        <f t="shared" si="5"/>
        <v>212</v>
      </c>
      <c r="I14">
        <f t="shared" si="5"/>
        <v>226</v>
      </c>
      <c r="J14">
        <f t="shared" si="5"/>
        <v>240</v>
      </c>
    </row>
    <row r="15" spans="1:19" x14ac:dyDescent="0.35">
      <c r="A15" t="s">
        <v>246</v>
      </c>
      <c r="B15">
        <v>0.22366312536730901</v>
      </c>
      <c r="C15">
        <v>0.26732429384782702</v>
      </c>
      <c r="D15">
        <v>0.34548877137469303</v>
      </c>
      <c r="E15">
        <v>0.41490918255643899</v>
      </c>
      <c r="F15">
        <v>0.47795339467689202</v>
      </c>
      <c r="G15">
        <v>0.50757133126475196</v>
      </c>
      <c r="H15">
        <v>0.56370127812524895</v>
      </c>
      <c r="I15">
        <v>0.59043176628590699</v>
      </c>
      <c r="J15">
        <v>0.61639233390497505</v>
      </c>
    </row>
    <row r="16" spans="1:19" x14ac:dyDescent="0.35">
      <c r="A16" t="s">
        <v>308</v>
      </c>
      <c r="B16" s="15">
        <v>-0.30186868598851402</v>
      </c>
      <c r="C16" s="15">
        <v>-0.159671410721589</v>
      </c>
      <c r="D16" s="15">
        <v>9.2504252980589702E-2</v>
      </c>
      <c r="E16" s="15">
        <v>0.31797721594884698</v>
      </c>
      <c r="F16" s="15">
        <v>0.56279462826972704</v>
      </c>
      <c r="G16" s="15">
        <v>0.66479709031629997</v>
      </c>
      <c r="H16" s="15">
        <v>0.88258079601218697</v>
      </c>
      <c r="I16" s="15">
        <v>0.96987972238392095</v>
      </c>
      <c r="J16" s="15">
        <v>1.0930364151504499</v>
      </c>
    </row>
    <row r="17" spans="1:29" x14ac:dyDescent="0.35">
      <c r="A17" t="s">
        <v>309</v>
      </c>
      <c r="B17" s="15">
        <f t="shared" ref="B17:J17" si="6">-1.01957274128531+B14*10.6671254654668*0.001+B14^2*-7.95677581922065*10^(-6)</f>
        <v>-0.29278763361854027</v>
      </c>
      <c r="C17" s="15">
        <f t="shared" si="6"/>
        <v>-0.16104826521412105</v>
      </c>
      <c r="D17" s="15">
        <f t="shared" si="6"/>
        <v>9.3073303231313825E-2</v>
      </c>
      <c r="E17" s="15">
        <f t="shared" si="6"/>
        <v>0.33471864719221034</v>
      </c>
      <c r="F17" s="15">
        <f t="shared" si="6"/>
        <v>0.5638877666685691</v>
      </c>
      <c r="G17" s="15">
        <f t="shared" si="6"/>
        <v>0.67379374222504684</v>
      </c>
      <c r="H17" s="15">
        <f t="shared" si="6"/>
        <v>0.88424852497459849</v>
      </c>
      <c r="I17" s="15">
        <f t="shared" si="6"/>
        <v>0.98479733216767307</v>
      </c>
      <c r="J17" s="15">
        <f t="shared" si="6"/>
        <v>1.0822270832396126</v>
      </c>
    </row>
    <row r="18" spans="1:29" x14ac:dyDescent="0.35">
      <c r="A18" t="s">
        <v>310</v>
      </c>
      <c r="B18" s="15">
        <f>ABS((B17-B16)/B16) * 100</f>
        <v>3.0082790270996451</v>
      </c>
      <c r="C18" s="15">
        <f t="shared" ref="C18:J18" si="7">ABS((C17-C16)/C16) * 100</f>
        <v>0.86230495885879377</v>
      </c>
      <c r="D18" s="15">
        <f t="shared" si="7"/>
        <v>0.61516117625805611</v>
      </c>
      <c r="E18" s="15">
        <f t="shared" si="7"/>
        <v>5.2649782448741718</v>
      </c>
      <c r="F18" s="15">
        <f t="shared" si="7"/>
        <v>0.19423397877887391</v>
      </c>
      <c r="G18" s="15">
        <f t="shared" si="7"/>
        <v>1.3532929129497864</v>
      </c>
      <c r="H18" s="15">
        <f t="shared" si="7"/>
        <v>0.18896048610471808</v>
      </c>
      <c r="I18" s="15">
        <f t="shared" si="7"/>
        <v>1.5380886350613969</v>
      </c>
      <c r="J18" s="15">
        <f t="shared" si="7"/>
        <v>0.98892697086853132</v>
      </c>
    </row>
    <row r="22" spans="1:29" x14ac:dyDescent="0.35">
      <c r="A22" t="s">
        <v>333</v>
      </c>
      <c r="B22">
        <v>1.22756</v>
      </c>
      <c r="C22">
        <v>1.2769299999999999</v>
      </c>
      <c r="D22">
        <v>1.3520300000000001</v>
      </c>
      <c r="E22">
        <v>1.4086399999999999</v>
      </c>
      <c r="F22">
        <v>1.4557599999999999</v>
      </c>
      <c r="G22">
        <v>1.47722</v>
      </c>
      <c r="I22">
        <v>1.53701</v>
      </c>
      <c r="J22">
        <v>1.55592</v>
      </c>
    </row>
    <row r="25" spans="1:29" x14ac:dyDescent="0.35">
      <c r="B25">
        <f>B22/B15</f>
        <v>5.4884326505947243</v>
      </c>
      <c r="C25">
        <f t="shared" ref="C25:J25" si="8">C22/C15</f>
        <v>4.7767076520433482</v>
      </c>
      <c r="D25">
        <f t="shared" si="8"/>
        <v>3.9133833340525057</v>
      </c>
      <c r="E25">
        <f t="shared" si="8"/>
        <v>3.395056217654056</v>
      </c>
      <c r="F25">
        <f t="shared" si="8"/>
        <v>3.0458199820593985</v>
      </c>
      <c r="G25">
        <f t="shared" si="8"/>
        <v>2.9103692604527227</v>
      </c>
      <c r="H25">
        <f t="shared" si="8"/>
        <v>0</v>
      </c>
      <c r="I25">
        <f t="shared" si="8"/>
        <v>2.603196656691618</v>
      </c>
      <c r="J25">
        <f t="shared" si="8"/>
        <v>2.5242364552831469</v>
      </c>
    </row>
    <row r="27" spans="1:29" s="1" customFormat="1" x14ac:dyDescent="0.35"/>
    <row r="31" spans="1:29" x14ac:dyDescent="0.35">
      <c r="B31" t="s">
        <v>338</v>
      </c>
      <c r="C31" t="s">
        <v>339</v>
      </c>
      <c r="D31" t="s">
        <v>340</v>
      </c>
      <c r="E31" t="s">
        <v>341</v>
      </c>
      <c r="F31" t="s">
        <v>342</v>
      </c>
      <c r="G31" t="s">
        <v>343</v>
      </c>
      <c r="H31" t="s">
        <v>344</v>
      </c>
      <c r="I31" t="s">
        <v>345</v>
      </c>
      <c r="J31" t="s">
        <v>346</v>
      </c>
      <c r="K31" t="s">
        <v>347</v>
      </c>
      <c r="L31" t="s">
        <v>348</v>
      </c>
      <c r="M31" s="11" t="s">
        <v>110</v>
      </c>
      <c r="N31" t="s">
        <v>349</v>
      </c>
      <c r="O31" t="s">
        <v>351</v>
      </c>
      <c r="P31" t="s">
        <v>352</v>
      </c>
      <c r="Q31" t="s">
        <v>113</v>
      </c>
      <c r="R31" t="s">
        <v>353</v>
      </c>
      <c r="S31" t="s">
        <v>354</v>
      </c>
      <c r="T31" t="s">
        <v>285</v>
      </c>
      <c r="U31" t="s">
        <v>355</v>
      </c>
      <c r="V31" t="s">
        <v>356</v>
      </c>
      <c r="W31" t="s">
        <v>357</v>
      </c>
      <c r="X31" t="s">
        <v>358</v>
      </c>
      <c r="Y31" t="s">
        <v>359</v>
      </c>
      <c r="Z31" t="s">
        <v>360</v>
      </c>
      <c r="AA31" t="s">
        <v>361</v>
      </c>
      <c r="AB31" t="s">
        <v>362</v>
      </c>
      <c r="AC31" t="s">
        <v>363</v>
      </c>
    </row>
    <row r="32" spans="1:29" x14ac:dyDescent="0.35">
      <c r="A32" t="s">
        <v>350</v>
      </c>
      <c r="B32">
        <v>9.6070899383705596E-2</v>
      </c>
      <c r="C32">
        <v>0.192611252342894</v>
      </c>
      <c r="D32">
        <v>0.33536240721522598</v>
      </c>
      <c r="E32">
        <v>0.50547184085400598</v>
      </c>
      <c r="F32">
        <v>0.65765306539118296</v>
      </c>
      <c r="G32">
        <v>0.81602864875040104</v>
      </c>
      <c r="H32">
        <v>0.86950845662415199</v>
      </c>
      <c r="I32">
        <v>0.99849451940892198</v>
      </c>
      <c r="J32">
        <v>1.03786739590195</v>
      </c>
      <c r="K32">
        <v>1.11835231251933</v>
      </c>
      <c r="L32">
        <v>1.26347290632672</v>
      </c>
      <c r="M32">
        <v>1.0459209090986099</v>
      </c>
      <c r="N32">
        <v>-8.2607890046726602E-4</v>
      </c>
      <c r="O32">
        <v>0.11251855538904</v>
      </c>
      <c r="P32">
        <v>0.351522363634447</v>
      </c>
      <c r="Q32">
        <v>1.4737130910290399</v>
      </c>
      <c r="R32">
        <v>0.43972807234464001</v>
      </c>
      <c r="S32">
        <v>0.60225803787231103</v>
      </c>
      <c r="T32">
        <v>0.68485187654163704</v>
      </c>
      <c r="U32">
        <v>0.58541024745784498</v>
      </c>
      <c r="V32">
        <v>0.65833798396392895</v>
      </c>
      <c r="W32">
        <v>0.72397903213187897</v>
      </c>
      <c r="X32">
        <v>0.80580449661169695</v>
      </c>
      <c r="Y32">
        <v>1.0183970869608701</v>
      </c>
      <c r="Z32">
        <v>1.12210663970149</v>
      </c>
      <c r="AA32">
        <v>0.58118691741408901</v>
      </c>
      <c r="AB32">
        <v>1.0785888459872099</v>
      </c>
      <c r="AC32">
        <v>0.62731564594223899</v>
      </c>
    </row>
    <row r="33" spans="1:29" x14ac:dyDescent="0.35">
      <c r="A33" t="s">
        <v>364</v>
      </c>
      <c r="B33">
        <v>0.17554745821756701</v>
      </c>
      <c r="C33">
        <v>0.22366312536730901</v>
      </c>
      <c r="D33">
        <v>0.26732429384782702</v>
      </c>
      <c r="E33">
        <v>0.34548877137469303</v>
      </c>
      <c r="F33">
        <v>0.41490918255643899</v>
      </c>
      <c r="G33">
        <v>0.47795339467689202</v>
      </c>
      <c r="H33">
        <v>0.50757133126475196</v>
      </c>
      <c r="I33">
        <v>0.56370127812524895</v>
      </c>
      <c r="J33">
        <v>0.59043176628590699</v>
      </c>
      <c r="K33">
        <v>0.61639233390497505</v>
      </c>
      <c r="L33">
        <v>0.69034594326088705</v>
      </c>
      <c r="M33">
        <v>0.598013541314664</v>
      </c>
      <c r="N33">
        <v>0.168088738275608</v>
      </c>
      <c r="O33">
        <v>0.21218443452581501</v>
      </c>
      <c r="P33">
        <v>0.25276005200425899</v>
      </c>
      <c r="Q33">
        <v>0.83085945305089903</v>
      </c>
      <c r="R33">
        <v>0.34434164593639199</v>
      </c>
      <c r="S33">
        <v>0.36098176445510899</v>
      </c>
      <c r="T33">
        <v>0.36098176445510899</v>
      </c>
      <c r="U33">
        <v>0.37638338863722298</v>
      </c>
      <c r="V33">
        <v>0.39375435757298</v>
      </c>
      <c r="W33">
        <v>0.42523422396127503</v>
      </c>
      <c r="X33">
        <v>0.45556855124971701</v>
      </c>
      <c r="Y33">
        <v>0.56762143484954297</v>
      </c>
      <c r="Z33">
        <v>0.59372718319808804</v>
      </c>
      <c r="AA33">
        <v>0.35061167407615401</v>
      </c>
      <c r="AB33">
        <v>0.61189014406269204</v>
      </c>
      <c r="AC33">
        <v>0.38218249604424998</v>
      </c>
    </row>
    <row r="34" spans="1:29" x14ac:dyDescent="0.35">
      <c r="A34" t="s">
        <v>365</v>
      </c>
      <c r="B34">
        <f t="shared" ref="B34:I34" si="9">-0.436930003999859+ 3.0932025680366*B33 -0.94836043136431*B33^2</f>
        <v>7.6848306427927976E-2</v>
      </c>
      <c r="C34">
        <f t="shared" si="9"/>
        <v>0.20746343553327568</v>
      </c>
      <c r="D34">
        <f t="shared" si="9"/>
        <v>0.32218619136140986</v>
      </c>
      <c r="E34">
        <f t="shared" si="9"/>
        <v>0.51853808725221695</v>
      </c>
      <c r="F34">
        <f t="shared" si="9"/>
        <v>0.68320824783813094</v>
      </c>
      <c r="G34">
        <f t="shared" si="9"/>
        <v>0.8248337308607554</v>
      </c>
      <c r="H34">
        <f t="shared" si="9"/>
        <v>0.88876611768880898</v>
      </c>
      <c r="I34">
        <f t="shared" si="9"/>
        <v>1.0053620505954637</v>
      </c>
      <c r="J34">
        <f t="shared" ref="J34:AC34" si="10">-0.436930003999859+ 3.0932025680366*J33 -0.94836043136431*J33^2</f>
        <v>1.0587874341006518</v>
      </c>
      <c r="K34">
        <f t="shared" si="10"/>
        <v>1.1093767492240048</v>
      </c>
      <c r="L34">
        <f t="shared" si="10"/>
        <v>1.2464825767769647</v>
      </c>
      <c r="M34">
        <f t="shared" si="10"/>
        <v>1.0736941747555893</v>
      </c>
      <c r="N34">
        <f t="shared" si="10"/>
        <v>5.6207704237514332E-2</v>
      </c>
      <c r="O34">
        <f t="shared" si="10"/>
        <v>0.17670212827369125</v>
      </c>
      <c r="P34">
        <f t="shared" si="10"/>
        <v>0.28431952443917247</v>
      </c>
      <c r="Q34">
        <f t="shared" si="10"/>
        <v>1.4784073698706013</v>
      </c>
      <c r="R34">
        <f t="shared" si="10"/>
        <v>0.51574025439266047</v>
      </c>
      <c r="S34">
        <f t="shared" si="10"/>
        <v>0.55608092290945199</v>
      </c>
      <c r="T34">
        <f t="shared" si="10"/>
        <v>0.55608092290945199</v>
      </c>
      <c r="U34">
        <f t="shared" si="10"/>
        <v>0.59295109641678689</v>
      </c>
      <c r="V34">
        <f t="shared" si="10"/>
        <v>0.63399581942869809</v>
      </c>
      <c r="W34">
        <f t="shared" si="10"/>
        <v>0.70691912520474853</v>
      </c>
      <c r="X34">
        <f t="shared" si="10"/>
        <v>0.77541051950860163</v>
      </c>
      <c r="Y34">
        <f t="shared" si="10"/>
        <v>1.0132819466437262</v>
      </c>
      <c r="Z34">
        <f t="shared" si="10"/>
        <v>1.0652800416832349</v>
      </c>
      <c r="AA34">
        <f t="shared" si="10"/>
        <v>0.53100235772600313</v>
      </c>
      <c r="AB34">
        <f t="shared" si="10"/>
        <v>1.1006949601425977</v>
      </c>
      <c r="AC34">
        <f t="shared" si="10"/>
        <v>0.60671706802267011</v>
      </c>
    </row>
    <row r="35" spans="1:29" x14ac:dyDescent="0.35">
      <c r="A35" t="s">
        <v>366</v>
      </c>
      <c r="B35">
        <f>2.36396165055591*B33 -0.627783912367389*B33^2</f>
        <v>0.39564109869762415</v>
      </c>
      <c r="C35">
        <f>2.36396165055591*C33 -0.627783912367389*C33^2</f>
        <v>0.49732603922584612</v>
      </c>
      <c r="D35">
        <f t="shared" ref="D35:AB35" si="11">2.36396165055591*D33 -0.627783912367389*D33^2</f>
        <v>0.58708151039767542</v>
      </c>
      <c r="E35">
        <f t="shared" si="11"/>
        <v>0.7417883545459022</v>
      </c>
      <c r="F35">
        <f t="shared" si="11"/>
        <v>0.87275662793753284</v>
      </c>
      <c r="G35">
        <f t="shared" si="11"/>
        <v>0.98645288568915979</v>
      </c>
      <c r="H35">
        <f t="shared" si="11"/>
        <v>1.0381440362277849</v>
      </c>
      <c r="I35">
        <f t="shared" si="11"/>
        <v>1.1330841334328845</v>
      </c>
      <c r="J35">
        <f t="shared" si="11"/>
        <v>1.1769065098467042</v>
      </c>
      <c r="K35">
        <f t="shared" si="11"/>
        <v>1.2186079274387092</v>
      </c>
      <c r="L35">
        <f t="shared" si="11"/>
        <v>1.3327636345693252</v>
      </c>
      <c r="M35">
        <f t="shared" si="11"/>
        <v>1.189172872648335</v>
      </c>
      <c r="N35">
        <f t="shared" si="11"/>
        <v>0.37961803504455904</v>
      </c>
      <c r="O35">
        <f t="shared" si="11"/>
        <v>0.47333163169976805</v>
      </c>
      <c r="P35">
        <f t="shared" si="11"/>
        <v>0.55740743469789189</v>
      </c>
      <c r="Q35">
        <f t="shared" si="11"/>
        <v>1.5307434287397188</v>
      </c>
      <c r="R35">
        <f t="shared" si="11"/>
        <v>0.73957337323492101</v>
      </c>
      <c r="S35">
        <f t="shared" si="11"/>
        <v>0.77154188571229221</v>
      </c>
      <c r="T35">
        <f t="shared" si="11"/>
        <v>0.77154188571229221</v>
      </c>
      <c r="U35">
        <f t="shared" si="11"/>
        <v>0.80082123068943412</v>
      </c>
      <c r="V35">
        <f t="shared" si="11"/>
        <v>0.83348701750766763</v>
      </c>
      <c r="W35">
        <f t="shared" si="11"/>
        <v>0.89171890860666703</v>
      </c>
      <c r="X35">
        <f t="shared" si="11"/>
        <v>0.94665461309589349</v>
      </c>
      <c r="Y35">
        <f t="shared" si="11"/>
        <v>1.1395670355838914</v>
      </c>
      <c r="Z35">
        <f t="shared" si="11"/>
        <v>1.1822469495025951</v>
      </c>
      <c r="AA35">
        <f t="shared" si="11"/>
        <v>0.75165998820467339</v>
      </c>
      <c r="AB35">
        <f t="shared" si="11"/>
        <v>1.211436543794409</v>
      </c>
      <c r="AC35">
        <f>2.36396165055591*AC33 -0.627783912367389*AC33^2</f>
        <v>0.81176847361220505</v>
      </c>
    </row>
    <row r="36" spans="1:29" x14ac:dyDescent="0.35">
      <c r="A36" t="s">
        <v>367</v>
      </c>
      <c r="B36">
        <v>1.1658964796460201</v>
      </c>
      <c r="C36">
        <v>1.2275567564401</v>
      </c>
      <c r="D36">
        <v>1.27692970205537</v>
      </c>
      <c r="E36">
        <v>1.3520344907364501</v>
      </c>
      <c r="F36">
        <v>1.4086379558095301</v>
      </c>
      <c r="G36">
        <v>1.45575659960578</v>
      </c>
      <c r="H36">
        <v>1.47721942124232</v>
      </c>
      <c r="J36">
        <v>1.5370078236965301</v>
      </c>
      <c r="K36">
        <v>1.55592248429817</v>
      </c>
      <c r="L36">
        <v>1.6107121673770499</v>
      </c>
      <c r="M36">
        <v>1.50252105451005</v>
      </c>
      <c r="N36">
        <v>1.09890921908112</v>
      </c>
      <c r="O36">
        <v>1.1466458903107799</v>
      </c>
      <c r="P36">
        <v>1.19004243703942</v>
      </c>
      <c r="Q36">
        <v>1.74527981181929</v>
      </c>
      <c r="R36">
        <v>1.24944563250153</v>
      </c>
      <c r="S36">
        <v>1.3004278083266201</v>
      </c>
      <c r="T36">
        <v>1.3004278083266201</v>
      </c>
      <c r="U36">
        <v>1.2840534958138099</v>
      </c>
      <c r="V36">
        <v>1.33222400314624</v>
      </c>
      <c r="W36">
        <v>1.3620549505897099</v>
      </c>
      <c r="X36">
        <v>1.3903191052488599</v>
      </c>
      <c r="Y36">
        <v>1.4914481871551699</v>
      </c>
      <c r="Z36">
        <v>1.5144098442029501</v>
      </c>
      <c r="AA36">
        <v>1.2579690934616301</v>
      </c>
      <c r="AB36">
        <v>1.5191488750175699</v>
      </c>
      <c r="AC36">
        <v>1.29160168116056</v>
      </c>
    </row>
    <row r="37" spans="1:29" x14ac:dyDescent="0.35">
      <c r="A37" t="s">
        <v>368</v>
      </c>
      <c r="B37">
        <f>B36-1</f>
        <v>0.16589647964602006</v>
      </c>
      <c r="C37">
        <f t="shared" ref="C37:AC37" si="12">C36-1</f>
        <v>0.22755675644009998</v>
      </c>
      <c r="D37">
        <f t="shared" si="12"/>
        <v>0.27692970205537004</v>
      </c>
      <c r="E37">
        <f t="shared" si="12"/>
        <v>0.3520344907364501</v>
      </c>
      <c r="F37">
        <f t="shared" si="12"/>
        <v>0.40863795580953011</v>
      </c>
      <c r="G37">
        <f t="shared" si="12"/>
        <v>0.45575659960577997</v>
      </c>
      <c r="H37">
        <f t="shared" si="12"/>
        <v>0.47721942124231997</v>
      </c>
      <c r="J37">
        <f t="shared" si="12"/>
        <v>0.53700782369653011</v>
      </c>
      <c r="K37">
        <f t="shared" si="12"/>
        <v>0.55592248429817004</v>
      </c>
      <c r="L37">
        <f t="shared" si="12"/>
        <v>0.61071216737704992</v>
      </c>
      <c r="M37">
        <f t="shared" si="12"/>
        <v>0.50252105451005002</v>
      </c>
      <c r="N37">
        <f t="shared" si="12"/>
        <v>9.8909219081120048E-2</v>
      </c>
      <c r="O37">
        <f t="shared" si="12"/>
        <v>0.1466458903107799</v>
      </c>
      <c r="P37">
        <f t="shared" si="12"/>
        <v>0.19004243703942003</v>
      </c>
      <c r="Q37">
        <f t="shared" si="12"/>
        <v>0.74527981181929004</v>
      </c>
      <c r="R37">
        <f t="shared" si="12"/>
        <v>0.24944563250152996</v>
      </c>
      <c r="S37">
        <f t="shared" si="12"/>
        <v>0.30042780832662008</v>
      </c>
      <c r="T37">
        <f t="shared" si="12"/>
        <v>0.30042780832662008</v>
      </c>
      <c r="U37">
        <f t="shared" si="12"/>
        <v>0.2840534958138099</v>
      </c>
      <c r="V37">
        <f t="shared" si="12"/>
        <v>0.33222400314624001</v>
      </c>
      <c r="W37">
        <f t="shared" si="12"/>
        <v>0.36205495058970993</v>
      </c>
      <c r="X37">
        <f t="shared" si="12"/>
        <v>0.39031910524885993</v>
      </c>
      <c r="Y37">
        <f t="shared" si="12"/>
        <v>0.49144818715516991</v>
      </c>
      <c r="Z37">
        <f t="shared" si="12"/>
        <v>0.51440984420295011</v>
      </c>
      <c r="AA37">
        <f t="shared" si="12"/>
        <v>0.25796909346163011</v>
      </c>
      <c r="AB37">
        <f t="shared" si="12"/>
        <v>0.5191488750175699</v>
      </c>
      <c r="AC37">
        <f t="shared" si="12"/>
        <v>0.29160168116055996</v>
      </c>
    </row>
    <row r="38" spans="1:29" x14ac:dyDescent="0.35">
      <c r="B38">
        <v>9.6070899383705596E-2</v>
      </c>
      <c r="C38">
        <v>0.192611252342894</v>
      </c>
      <c r="D38">
        <v>0.33536240721522598</v>
      </c>
      <c r="E38">
        <v>0.50547184085400598</v>
      </c>
      <c r="F38">
        <v>0.65765306539118296</v>
      </c>
      <c r="G38">
        <v>0.81602864875040104</v>
      </c>
      <c r="H38">
        <v>0.86950845662415199</v>
      </c>
      <c r="J38">
        <v>1.03786739590195</v>
      </c>
      <c r="K38">
        <v>1.11835231251933</v>
      </c>
      <c r="L38">
        <v>1.26347290632672</v>
      </c>
      <c r="M38">
        <v>1.0459209090986099</v>
      </c>
      <c r="N38">
        <v>-8.2607890046726602E-4</v>
      </c>
      <c r="O38">
        <v>0.11251855538904</v>
      </c>
      <c r="P38">
        <v>0.351522363634447</v>
      </c>
      <c r="Q38">
        <v>1.4737130910290399</v>
      </c>
      <c r="R38">
        <v>0.43972807234464001</v>
      </c>
      <c r="S38">
        <v>0.60225803787231103</v>
      </c>
      <c r="T38">
        <v>0.68485187654163704</v>
      </c>
      <c r="U38">
        <v>0.58541024745784498</v>
      </c>
      <c r="V38">
        <v>0.65833798396392895</v>
      </c>
      <c r="W38">
        <v>0.72397903213187897</v>
      </c>
      <c r="X38">
        <v>0.80580449661169695</v>
      </c>
      <c r="Y38">
        <v>1.0183970869608701</v>
      </c>
      <c r="Z38">
        <v>1.12210663970149</v>
      </c>
      <c r="AA38">
        <v>0.58118691741408901</v>
      </c>
      <c r="AB38">
        <v>1.0785888459872099</v>
      </c>
      <c r="AC38">
        <v>0.62731564594223899</v>
      </c>
    </row>
    <row r="41" spans="1:29" x14ac:dyDescent="0.35">
      <c r="A41" s="9" t="s">
        <v>372</v>
      </c>
      <c r="B41">
        <v>-3.5383799711801403E-2</v>
      </c>
      <c r="C41">
        <v>-1.53098599405232E-2</v>
      </c>
      <c r="D41">
        <v>1.4572466756091E-2</v>
      </c>
      <c r="E41">
        <v>1.9450370932829201E-2</v>
      </c>
      <c r="F41">
        <v>-7.9694359589062205E-3</v>
      </c>
      <c r="G41">
        <v>-7.9557768876923202E-3</v>
      </c>
      <c r="H41">
        <v>3.1503077784653302E-3</v>
      </c>
      <c r="J41">
        <v>-1.08724117726311E-2</v>
      </c>
      <c r="K41">
        <v>-1.8826190324573298E-2</v>
      </c>
      <c r="L41">
        <v>3.2997419008156302E-2</v>
      </c>
      <c r="M41">
        <v>-3.0140884519965799E-2</v>
      </c>
      <c r="N41">
        <v>-3.3069571064680302E-2</v>
      </c>
      <c r="O41">
        <v>-3.2143681443296303E-2</v>
      </c>
      <c r="P41">
        <v>5.2997864237306298E-2</v>
      </c>
      <c r="Q41">
        <v>5.6901582017123498E-3</v>
      </c>
      <c r="R41">
        <v>-3.0685176887535699E-2</v>
      </c>
      <c r="S41">
        <v>3.0381965630561999E-2</v>
      </c>
      <c r="T41">
        <v>7.7750634299181706E-2</v>
      </c>
      <c r="U41">
        <v>-1.84817137638211E-3</v>
      </c>
      <c r="V41">
        <v>1.0617705540247499E-2</v>
      </c>
      <c r="W41">
        <v>-3.4220172901989202E-4</v>
      </c>
      <c r="X41">
        <v>4.2910320236875198E-4</v>
      </c>
      <c r="Y41">
        <v>-3.4477420070779502E-2</v>
      </c>
      <c r="Z41">
        <v>-1.0409423001212E-2</v>
      </c>
      <c r="AA41">
        <v>0.19373813809118201</v>
      </c>
      <c r="AB41">
        <v>2.0054450122002299E-2</v>
      </c>
      <c r="AC41">
        <v>7.3153628787407499E-2</v>
      </c>
    </row>
    <row r="42" spans="1:29" x14ac:dyDescent="0.35">
      <c r="B42">
        <f>230-216*B41 + 63*B41^2</f>
        <v>237.72177757451792</v>
      </c>
      <c r="C42">
        <f t="shared" ref="C42:AC42" si="13">230-216*C41 + 63*C41^2</f>
        <v>233.32169643127114</v>
      </c>
      <c r="D42">
        <f t="shared" si="13"/>
        <v>226.86572565828786</v>
      </c>
      <c r="E42">
        <f t="shared" si="13"/>
        <v>225.82255384506266</v>
      </c>
      <c r="F42">
        <f t="shared" si="13"/>
        <v>231.72539941742244</v>
      </c>
      <c r="G42">
        <f t="shared" si="13"/>
        <v>231.72243535405241</v>
      </c>
      <c r="H42">
        <f t="shared" si="13"/>
        <v>229.32015875951473</v>
      </c>
      <c r="J42">
        <f t="shared" si="13"/>
        <v>232.35588813116681</v>
      </c>
      <c r="K42">
        <f t="shared" si="13"/>
        <v>234.08878591296246</v>
      </c>
      <c r="L42">
        <f t="shared" si="13"/>
        <v>222.94115376289383</v>
      </c>
      <c r="M42">
        <f t="shared" si="13"/>
        <v>236.56766485025031</v>
      </c>
      <c r="N42">
        <f t="shared" si="13"/>
        <v>237.21192393138625</v>
      </c>
      <c r="O42">
        <f t="shared" si="13"/>
        <v>237.00812781592586</v>
      </c>
      <c r="P42">
        <f t="shared" si="13"/>
        <v>218.72941406240594</v>
      </c>
      <c r="Q42">
        <f t="shared" si="13"/>
        <v>228.77296563615286</v>
      </c>
      <c r="R42">
        <f t="shared" si="13"/>
        <v>236.68731775278673</v>
      </c>
      <c r="S42">
        <f t="shared" si="13"/>
        <v>223.49564844543991</v>
      </c>
      <c r="T42">
        <f t="shared" si="13"/>
        <v>213.58670814281405</v>
      </c>
      <c r="U42">
        <f t="shared" si="13"/>
        <v>230.39942020875702</v>
      </c>
      <c r="V42">
        <f t="shared" si="13"/>
        <v>227.71367795057571</v>
      </c>
      <c r="W42">
        <f t="shared" si="13"/>
        <v>230.07392295089576</v>
      </c>
      <c r="X42">
        <f t="shared" si="13"/>
        <v>229.90732530845051</v>
      </c>
      <c r="Y42">
        <f t="shared" si="13"/>
        <v>237.5220103624568</v>
      </c>
      <c r="Z42">
        <f t="shared" si="13"/>
        <v>232.25526180175655</v>
      </c>
      <c r="AA42">
        <f t="shared" si="13"/>
        <v>190.51723353982007</v>
      </c>
      <c r="AB42">
        <f t="shared" si="13"/>
        <v>225.69357617473835</v>
      </c>
      <c r="AC42">
        <f t="shared" si="13"/>
        <v>214.53595774642025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DAD41-A425-4EAC-AD0C-C227B2ECDB4F}">
  <dimension ref="A1:AI16"/>
  <sheetViews>
    <sheetView topLeftCell="F4" zoomScale="77" workbookViewId="0">
      <selection activeCell="R7" sqref="R7"/>
    </sheetView>
  </sheetViews>
  <sheetFormatPr defaultRowHeight="14.5" x14ac:dyDescent="0.35"/>
  <cols>
    <col min="11" max="11" width="14.81640625" customWidth="1"/>
  </cols>
  <sheetData>
    <row r="1" spans="1:35" x14ac:dyDescent="0.35">
      <c r="A1" t="s">
        <v>18</v>
      </c>
      <c r="B1" t="s">
        <v>114</v>
      </c>
      <c r="K1" t="s">
        <v>118</v>
      </c>
      <c r="O1" t="s">
        <v>122</v>
      </c>
    </row>
    <row r="2" spans="1:35" x14ac:dyDescent="0.35">
      <c r="B2" t="s">
        <v>1</v>
      </c>
      <c r="C2" t="s">
        <v>8</v>
      </c>
      <c r="D2" t="s">
        <v>103</v>
      </c>
      <c r="E2" t="s">
        <v>87</v>
      </c>
      <c r="F2" t="s">
        <v>115</v>
      </c>
      <c r="G2" t="s">
        <v>116</v>
      </c>
      <c r="H2" t="s">
        <v>117</v>
      </c>
      <c r="I2" t="s">
        <v>126</v>
      </c>
      <c r="J2" t="s">
        <v>30</v>
      </c>
      <c r="K2" t="s">
        <v>31</v>
      </c>
      <c r="L2" t="s">
        <v>32</v>
      </c>
      <c r="M2" t="s">
        <v>67</v>
      </c>
      <c r="O2">
        <v>4</v>
      </c>
      <c r="P2">
        <v>5</v>
      </c>
      <c r="Q2">
        <v>6</v>
      </c>
      <c r="R2">
        <v>7</v>
      </c>
      <c r="S2">
        <v>8</v>
      </c>
      <c r="T2">
        <v>9</v>
      </c>
      <c r="U2">
        <v>10</v>
      </c>
      <c r="V2">
        <v>11</v>
      </c>
      <c r="W2">
        <v>12</v>
      </c>
      <c r="X2">
        <v>13</v>
      </c>
      <c r="Y2">
        <v>14</v>
      </c>
      <c r="Z2">
        <v>15</v>
      </c>
      <c r="AA2">
        <v>16</v>
      </c>
      <c r="AB2">
        <v>17</v>
      </c>
      <c r="AC2" s="5" t="s">
        <v>110</v>
      </c>
      <c r="AD2" t="s">
        <v>123</v>
      </c>
      <c r="AE2" t="s">
        <v>111</v>
      </c>
      <c r="AF2" t="s">
        <v>112</v>
      </c>
      <c r="AG2" t="s">
        <v>113</v>
      </c>
      <c r="AH2" t="s">
        <v>50</v>
      </c>
      <c r="AI2" t="s">
        <v>71</v>
      </c>
    </row>
    <row r="3" spans="1:35" x14ac:dyDescent="0.35">
      <c r="A3" t="s">
        <v>127</v>
      </c>
      <c r="B3" s="5">
        <v>0.54191473748583496</v>
      </c>
      <c r="C3" s="5">
        <v>3.4131537085276199E-2</v>
      </c>
      <c r="D3" s="5">
        <v>-0.46362105486704902</v>
      </c>
      <c r="E3" s="5"/>
      <c r="F3" s="5">
        <v>1.5839664610317701</v>
      </c>
      <c r="G3" s="5">
        <v>1.2250080824204399</v>
      </c>
      <c r="H3" s="5">
        <v>0.87060550620377497</v>
      </c>
      <c r="I3" s="5"/>
      <c r="J3" s="5" t="s">
        <v>119</v>
      </c>
      <c r="M3">
        <v>0.2</v>
      </c>
      <c r="O3">
        <v>0.20274599619829001</v>
      </c>
      <c r="P3">
        <v>7.2204835458629796E-2</v>
      </c>
      <c r="Q3">
        <v>0.12814193725631501</v>
      </c>
      <c r="R3">
        <v>0.139207365019895</v>
      </c>
      <c r="S3">
        <v>7.7944865252725107E-2</v>
      </c>
      <c r="T3">
        <v>8.2715448738158198E-2</v>
      </c>
      <c r="U3">
        <v>4.8969867516366401E-2</v>
      </c>
      <c r="V3">
        <v>4.1941303215978297E-2</v>
      </c>
      <c r="W3">
        <v>4.8006650036165499E-2</v>
      </c>
      <c r="X3">
        <v>4.7949805263925803E-2</v>
      </c>
      <c r="Y3">
        <v>4.1290136685105797E-2</v>
      </c>
      <c r="Z3">
        <v>4.1449463837970303E-2</v>
      </c>
      <c r="AA3">
        <v>5.0069530478261001E-2</v>
      </c>
      <c r="AB3">
        <v>1.55914405589251E-2</v>
      </c>
      <c r="AC3">
        <v>0.34324332959700099</v>
      </c>
      <c r="AD3">
        <v>5.1546258006347198E-2</v>
      </c>
      <c r="AE3">
        <v>2.0230454893311101E-2</v>
      </c>
      <c r="AF3">
        <v>8.9951938710431001E-2</v>
      </c>
      <c r="AG3">
        <v>0.139036083320837</v>
      </c>
      <c r="AH3">
        <f>AVERAGE(O3:AG3)</f>
        <v>8.8538774212875718E-2</v>
      </c>
      <c r="AI3">
        <f>MAX(O3:AG3)</f>
        <v>0.34324332959700099</v>
      </c>
    </row>
    <row r="4" spans="1:35" x14ac:dyDescent="0.35">
      <c r="A4" t="s">
        <v>128</v>
      </c>
      <c r="B4">
        <v>0.115295862451243</v>
      </c>
      <c r="C4">
        <v>4.2027237740239701E-3</v>
      </c>
      <c r="D4">
        <v>-0.102005127239661</v>
      </c>
      <c r="E4">
        <v>-0.225872538017069</v>
      </c>
      <c r="F4">
        <v>0.66728175682118795</v>
      </c>
      <c r="G4">
        <v>0.67900584507288897</v>
      </c>
      <c r="H4">
        <v>0.83731459209116099</v>
      </c>
      <c r="I4">
        <v>0.58351123952968398</v>
      </c>
      <c r="J4">
        <v>-0.11184093413014599</v>
      </c>
      <c r="K4">
        <v>0.36504487679673597</v>
      </c>
      <c r="L4">
        <v>-8.5505541981154495E-2</v>
      </c>
      <c r="M4">
        <v>0.12116845124065</v>
      </c>
    </row>
    <row r="8" spans="1:35" x14ac:dyDescent="0.35">
      <c r="A8" t="s">
        <v>124</v>
      </c>
      <c r="B8">
        <v>0.60676895694566602</v>
      </c>
      <c r="C8">
        <v>6.47119131236987E-2</v>
      </c>
      <c r="D8" s="6">
        <v>1.2217854617291399</v>
      </c>
      <c r="E8" s="6"/>
      <c r="F8" s="6">
        <v>1.3287119816677699</v>
      </c>
      <c r="G8" s="6">
        <v>3.7381831539582602</v>
      </c>
      <c r="H8" s="6">
        <v>-3.2063341251699402</v>
      </c>
      <c r="I8" s="6"/>
      <c r="J8" s="6">
        <v>1.0682318039518699</v>
      </c>
    </row>
    <row r="14" spans="1:35" x14ac:dyDescent="0.35">
      <c r="B14" t="s">
        <v>129</v>
      </c>
    </row>
    <row r="15" spans="1:35" x14ac:dyDescent="0.35">
      <c r="B15" s="18" t="s">
        <v>1</v>
      </c>
      <c r="C15" s="18"/>
      <c r="D15" s="18"/>
      <c r="E15" s="18" t="s">
        <v>8</v>
      </c>
      <c r="F15" s="18"/>
      <c r="G15" s="18"/>
      <c r="H15" t="s">
        <v>115</v>
      </c>
      <c r="I15" t="s">
        <v>116</v>
      </c>
      <c r="J15" t="s">
        <v>130</v>
      </c>
      <c r="K15" t="s">
        <v>101</v>
      </c>
      <c r="L15" t="s">
        <v>67</v>
      </c>
    </row>
    <row r="16" spans="1:35" x14ac:dyDescent="0.35">
      <c r="B16">
        <v>-3.8544326052060698E-3</v>
      </c>
      <c r="C16">
        <v>-0.39601505871195197</v>
      </c>
      <c r="D16">
        <v>-1.9999999345874799</v>
      </c>
      <c r="E16">
        <v>-5.4484709144103204E-4</v>
      </c>
      <c r="F16">
        <v>-0.934152633839613</v>
      </c>
      <c r="G16">
        <v>5.5944570848769998E-2</v>
      </c>
      <c r="H16">
        <v>1.1000000017679401</v>
      </c>
      <c r="I16">
        <v>1.10000000025345</v>
      </c>
      <c r="J16">
        <v>0.34334603951204501</v>
      </c>
      <c r="K16">
        <v>-1.00007737596824E-2</v>
      </c>
      <c r="L16">
        <v>4.3493882455032599E-2</v>
      </c>
    </row>
  </sheetData>
  <mergeCells count="2">
    <mergeCell ref="B15:D15"/>
    <mergeCell ref="E15:G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4B252-E19E-41E3-91E9-71851B79C0F0}">
  <dimension ref="A1:F43"/>
  <sheetViews>
    <sheetView tabSelected="1" topLeftCell="A34" zoomScale="85" zoomScaleNormal="85" workbookViewId="0">
      <selection activeCell="L44" sqref="L44"/>
    </sheetView>
  </sheetViews>
  <sheetFormatPr defaultRowHeight="14.5" x14ac:dyDescent="0.35"/>
  <sheetData>
    <row r="1" spans="1:6" x14ac:dyDescent="0.35">
      <c r="B1" t="s">
        <v>393</v>
      </c>
      <c r="C1" t="s">
        <v>406</v>
      </c>
      <c r="D1" t="s">
        <v>407</v>
      </c>
      <c r="E1" t="s">
        <v>405</v>
      </c>
      <c r="F1" t="s">
        <v>408</v>
      </c>
    </row>
    <row r="4" spans="1:6" x14ac:dyDescent="0.35">
      <c r="A4" t="s">
        <v>304</v>
      </c>
      <c r="B4" s="19" t="s">
        <v>152</v>
      </c>
      <c r="C4" s="19" t="s">
        <v>410</v>
      </c>
      <c r="D4" s="19" t="s">
        <v>153</v>
      </c>
      <c r="E4" s="19" t="s">
        <v>151</v>
      </c>
      <c r="F4" s="19"/>
    </row>
    <row r="5" spans="1:6" x14ac:dyDescent="0.35">
      <c r="A5" t="s">
        <v>86</v>
      </c>
      <c r="B5" s="20">
        <v>4.2847799999999998E-2</v>
      </c>
      <c r="C5" s="20">
        <v>2.6913099999999999E-2</v>
      </c>
      <c r="D5" s="20">
        <v>4.3324399999999999E-2</v>
      </c>
      <c r="E5" s="20">
        <v>4.0501200000000001E-2</v>
      </c>
      <c r="F5" s="20">
        <v>3.9411300000000003E-2</v>
      </c>
    </row>
    <row r="6" spans="1:6" x14ac:dyDescent="0.35">
      <c r="A6" t="s">
        <v>394</v>
      </c>
      <c r="B6" s="20">
        <v>1.7765300000000001E-2</v>
      </c>
      <c r="C6" s="20">
        <v>2.40936E-2</v>
      </c>
      <c r="D6" s="20">
        <v>1.7451899999999999E-2</v>
      </c>
      <c r="E6" s="20">
        <v>1.7868800000000001E-2</v>
      </c>
      <c r="F6" s="20">
        <v>1.7998699999999999E-2</v>
      </c>
    </row>
    <row r="7" spans="1:6" x14ac:dyDescent="0.35">
      <c r="A7" t="s">
        <v>84</v>
      </c>
      <c r="B7" s="20">
        <v>2.4969499999999999E-2</v>
      </c>
      <c r="C7" s="20">
        <v>3.3193899999999998E-2</v>
      </c>
      <c r="D7" s="20">
        <v>2.3898900000000001E-2</v>
      </c>
      <c r="E7" s="20">
        <v>2.76122E-2</v>
      </c>
      <c r="F7" s="20">
        <v>2.9011200000000001E-2</v>
      </c>
    </row>
    <row r="8" spans="1:6" x14ac:dyDescent="0.35">
      <c r="A8" t="s">
        <v>395</v>
      </c>
      <c r="B8" s="20">
        <v>2.9235299999999999E-2</v>
      </c>
      <c r="C8" s="20">
        <v>4.3661999999999999E-2</v>
      </c>
      <c r="D8" s="20">
        <v>2.8739799999999999E-2</v>
      </c>
      <c r="E8" s="20">
        <v>3.4295100000000002E-2</v>
      </c>
      <c r="F8" s="20">
        <v>3.3946299999999999E-2</v>
      </c>
    </row>
    <row r="9" spans="1:6" x14ac:dyDescent="0.35">
      <c r="A9" t="s">
        <v>10</v>
      </c>
      <c r="B9" s="20">
        <v>2.75835E-2</v>
      </c>
      <c r="C9" s="20">
        <v>3.8648099999999998E-2</v>
      </c>
      <c r="D9" s="20">
        <v>2.6634600000000001E-2</v>
      </c>
      <c r="E9" s="20">
        <v>2.7789700000000001E-2</v>
      </c>
      <c r="F9" s="20">
        <v>2.9540199999999999E-2</v>
      </c>
    </row>
    <row r="10" spans="1:6" x14ac:dyDescent="0.35">
      <c r="A10" t="s">
        <v>396</v>
      </c>
      <c r="B10" s="20">
        <v>3.0890500000000001E-2</v>
      </c>
      <c r="C10" s="20">
        <v>3.4244999999999998E-2</v>
      </c>
      <c r="D10" s="20">
        <v>3.0135100000000001E-2</v>
      </c>
      <c r="E10" s="20">
        <v>3.1073900000000002E-2</v>
      </c>
      <c r="F10" s="20">
        <v>3.2205900000000003E-2</v>
      </c>
    </row>
    <row r="11" spans="1:6" x14ac:dyDescent="0.35">
      <c r="A11" t="s">
        <v>11</v>
      </c>
      <c r="B11" s="20">
        <v>3.04462E-2</v>
      </c>
      <c r="C11" s="20">
        <v>3.2839899999999998E-2</v>
      </c>
      <c r="D11" s="20">
        <v>2.92451E-2</v>
      </c>
      <c r="E11" s="20">
        <v>2.47643E-2</v>
      </c>
      <c r="F11" s="20">
        <v>3.3378400000000003E-2</v>
      </c>
    </row>
    <row r="12" spans="1:6" x14ac:dyDescent="0.35">
      <c r="A12" t="s">
        <v>397</v>
      </c>
      <c r="B12" s="20">
        <v>1.7673500000000002E-2</v>
      </c>
      <c r="C12" s="20">
        <v>2.2313900000000001E-2</v>
      </c>
      <c r="D12" s="20">
        <v>1.6857500000000001E-2</v>
      </c>
      <c r="E12" s="20">
        <v>1.7331900000000001E-2</v>
      </c>
      <c r="F12" s="20">
        <v>2.0982299999999999E-2</v>
      </c>
    </row>
    <row r="13" spans="1:6" x14ac:dyDescent="0.35">
      <c r="A13" t="s">
        <v>12</v>
      </c>
      <c r="B13" s="20">
        <v>2.0994200000000001E-2</v>
      </c>
      <c r="C13" s="20">
        <v>3.0017100000000001E-2</v>
      </c>
      <c r="D13" s="20">
        <v>2.00965E-2</v>
      </c>
      <c r="E13" s="20">
        <v>1.53367E-2</v>
      </c>
      <c r="F13" s="20">
        <v>2.47385E-2</v>
      </c>
    </row>
    <row r="14" spans="1:6" x14ac:dyDescent="0.35">
      <c r="A14" t="s">
        <v>398</v>
      </c>
      <c r="B14" s="20">
        <v>3.04718E-2</v>
      </c>
      <c r="C14" s="20">
        <v>3.8184200000000001E-2</v>
      </c>
      <c r="D14" s="20">
        <v>3.0413900000000001E-2</v>
      </c>
      <c r="E14" s="20">
        <v>2.3692000000000001E-2</v>
      </c>
      <c r="F14" s="20">
        <v>3.3383799999999998E-2</v>
      </c>
    </row>
    <row r="15" spans="1:6" x14ac:dyDescent="0.35">
      <c r="A15" t="s">
        <v>13</v>
      </c>
      <c r="B15" s="20">
        <v>3.8944699999999999E-2</v>
      </c>
      <c r="C15" s="20">
        <v>4.1581300000000002E-2</v>
      </c>
      <c r="D15" s="20">
        <v>3.8729300000000001E-2</v>
      </c>
      <c r="E15" s="20">
        <v>3.2752999999999997E-2</v>
      </c>
      <c r="F15" s="20">
        <v>4.1600499999999999E-2</v>
      </c>
    </row>
    <row r="16" spans="1:6" x14ac:dyDescent="0.35">
      <c r="A16" t="s">
        <v>399</v>
      </c>
      <c r="B16" s="20">
        <v>3.02142E-2</v>
      </c>
      <c r="C16" s="20">
        <v>4.1463199999999999E-2</v>
      </c>
      <c r="D16" s="20">
        <v>3.0778799999999999E-2</v>
      </c>
      <c r="E16" s="20">
        <v>2.7545400000000001E-2</v>
      </c>
      <c r="F16" s="20">
        <v>3.1139799999999999E-2</v>
      </c>
    </row>
    <row r="17" spans="1:6" x14ac:dyDescent="0.35">
      <c r="A17" t="s">
        <v>14</v>
      </c>
      <c r="B17" s="20">
        <v>4.4804400000000001E-2</v>
      </c>
      <c r="C17" s="20">
        <v>5.0824800000000003E-2</v>
      </c>
      <c r="D17" s="20">
        <v>4.5047400000000001E-2</v>
      </c>
      <c r="E17" s="20">
        <v>4.4686299999999998E-2</v>
      </c>
      <c r="F17" s="20">
        <v>4.5684500000000003E-2</v>
      </c>
    </row>
    <row r="18" spans="1:6" x14ac:dyDescent="0.35">
      <c r="A18" t="s">
        <v>400</v>
      </c>
      <c r="B18" s="20">
        <v>1.6513699999999999E-2</v>
      </c>
      <c r="C18" s="20">
        <v>2.87969E-2</v>
      </c>
      <c r="D18" s="20">
        <v>1.6316500000000001E-2</v>
      </c>
      <c r="E18" s="20">
        <v>1.2950700000000001E-2</v>
      </c>
      <c r="F18" s="20">
        <v>1.6263400000000001E-2</v>
      </c>
    </row>
    <row r="19" spans="1:6" x14ac:dyDescent="0.35">
      <c r="A19" t="s">
        <v>401</v>
      </c>
      <c r="B19" s="20">
        <v>3.4911299999999999E-2</v>
      </c>
      <c r="C19" s="20">
        <v>2.6938299999999998E-2</v>
      </c>
      <c r="D19" s="20">
        <v>3.3612299999999998E-2</v>
      </c>
      <c r="E19" s="20">
        <v>3.52033E-2</v>
      </c>
      <c r="F19" s="20">
        <v>3.6884699999999999E-2</v>
      </c>
    </row>
    <row r="20" spans="1:6" x14ac:dyDescent="0.35">
      <c r="A20" t="s">
        <v>110</v>
      </c>
      <c r="B20" s="20">
        <v>0.181252</v>
      </c>
      <c r="C20" s="20">
        <v>0.153643</v>
      </c>
      <c r="D20" s="20">
        <v>0.18750500000000001</v>
      </c>
      <c r="E20" s="20">
        <v>0.157442</v>
      </c>
      <c r="F20" s="20">
        <v>0.15981799999999999</v>
      </c>
    </row>
    <row r="21" spans="1:6" x14ac:dyDescent="0.35">
      <c r="A21" t="s">
        <v>349</v>
      </c>
      <c r="B21" s="20">
        <v>0.109176</v>
      </c>
      <c r="C21" s="20">
        <v>9.1493000000000005E-2</v>
      </c>
      <c r="D21" s="20">
        <v>0.11157400000000001</v>
      </c>
      <c r="E21" s="20">
        <v>0.11230900000000001</v>
      </c>
      <c r="F21" s="20">
        <v>0.104071</v>
      </c>
    </row>
    <row r="22" spans="1:6" x14ac:dyDescent="0.35">
      <c r="A22" t="s">
        <v>351</v>
      </c>
      <c r="B22" s="20">
        <v>2.20787E-2</v>
      </c>
      <c r="C22" s="20">
        <v>1.3004399999999999E-2</v>
      </c>
      <c r="D22" s="20">
        <v>2.0531299999999999E-2</v>
      </c>
      <c r="E22" s="20">
        <v>2.3266599999999998E-2</v>
      </c>
      <c r="F22" s="20">
        <v>2.35579E-2</v>
      </c>
    </row>
    <row r="23" spans="1:6" x14ac:dyDescent="0.35">
      <c r="A23" t="s">
        <v>352</v>
      </c>
      <c r="B23" s="20">
        <v>4.5076600000000001E-2</v>
      </c>
      <c r="C23" s="20">
        <v>4.9783099999999997E-2</v>
      </c>
      <c r="D23" s="20">
        <v>4.4038500000000001E-2</v>
      </c>
      <c r="E23" s="20">
        <v>2.7359700000000001E-2</v>
      </c>
      <c r="F23" s="20">
        <v>4.6010200000000001E-2</v>
      </c>
    </row>
    <row r="24" spans="1:6" x14ac:dyDescent="0.35">
      <c r="A24" t="s">
        <v>296</v>
      </c>
      <c r="B24" s="20">
        <v>5.2981199999999999E-2</v>
      </c>
      <c r="C24" s="20">
        <v>6.5052600000000002E-2</v>
      </c>
      <c r="D24" s="20">
        <v>5.49433E-2</v>
      </c>
      <c r="E24" s="20">
        <v>5.0862600000000001E-2</v>
      </c>
      <c r="F24" s="20">
        <v>5.3166100000000001E-2</v>
      </c>
    </row>
    <row r="25" spans="1:6" x14ac:dyDescent="0.35">
      <c r="A25" t="s">
        <v>402</v>
      </c>
      <c r="B25" s="20">
        <v>6.5409300000000004E-2</v>
      </c>
      <c r="C25" s="20">
        <v>8.9243600000000006E-2</v>
      </c>
      <c r="D25" s="20">
        <v>6.7212099999999997E-2</v>
      </c>
      <c r="E25" s="20">
        <v>4.5166999999999999E-2</v>
      </c>
      <c r="F25" s="20">
        <v>6.4337599999999995E-2</v>
      </c>
    </row>
    <row r="26" spans="1:6" x14ac:dyDescent="0.35">
      <c r="A26" t="s">
        <v>354</v>
      </c>
      <c r="B26" s="20">
        <v>3.1329000000000003E-2</v>
      </c>
      <c r="C26" s="20">
        <v>2.9858699999999998E-2</v>
      </c>
      <c r="D26" s="20">
        <v>3.175E-2</v>
      </c>
      <c r="E26" s="20">
        <v>2.40351E-2</v>
      </c>
      <c r="F26" s="20">
        <v>3.0651500000000002E-2</v>
      </c>
    </row>
    <row r="27" spans="1:6" x14ac:dyDescent="0.35">
      <c r="A27" t="s">
        <v>285</v>
      </c>
      <c r="B27" s="20">
        <v>0.104673</v>
      </c>
      <c r="C27" s="20">
        <v>9.3567200000000003E-2</v>
      </c>
      <c r="D27" s="20">
        <v>0.10551099999999999</v>
      </c>
      <c r="E27" s="20">
        <v>9.4239000000000003E-2</v>
      </c>
      <c r="F27" s="20">
        <v>0.10233</v>
      </c>
    </row>
    <row r="28" spans="1:6" x14ac:dyDescent="0.35">
      <c r="A28" t="s">
        <v>403</v>
      </c>
      <c r="B28" s="20">
        <v>2.0609100000000002E-2</v>
      </c>
      <c r="C28" s="20">
        <v>3.9484400000000003E-2</v>
      </c>
      <c r="D28" s="20">
        <v>2.1573800000000001E-2</v>
      </c>
      <c r="E28" s="20">
        <v>1.8091099999999999E-2</v>
      </c>
      <c r="F28" s="20">
        <v>1.98465E-2</v>
      </c>
    </row>
    <row r="29" spans="1:6" x14ac:dyDescent="0.35">
      <c r="A29" t="s">
        <v>356</v>
      </c>
      <c r="B29" s="20">
        <v>2.12753E-2</v>
      </c>
      <c r="C29" s="20">
        <v>2.2932999999999999E-2</v>
      </c>
      <c r="D29" s="20">
        <v>2.0995199999999999E-2</v>
      </c>
      <c r="E29" s="20">
        <v>2.0006800000000002E-2</v>
      </c>
      <c r="F29" s="20">
        <v>2.1627199999999999E-2</v>
      </c>
    </row>
    <row r="30" spans="1:6" x14ac:dyDescent="0.35">
      <c r="A30" t="s">
        <v>357</v>
      </c>
      <c r="B30" s="20">
        <v>1.22334E-2</v>
      </c>
      <c r="C30" s="20">
        <v>1.2464599999999999E-2</v>
      </c>
      <c r="D30" s="20">
        <v>1.2489500000000001E-2</v>
      </c>
      <c r="E30" s="20">
        <v>1.1827799999999999E-2</v>
      </c>
      <c r="F30" s="20">
        <v>1.2009799999999999E-2</v>
      </c>
    </row>
    <row r="31" spans="1:6" x14ac:dyDescent="0.35">
      <c r="A31" t="s">
        <v>358</v>
      </c>
      <c r="B31" s="20">
        <v>2.3917999999999998E-2</v>
      </c>
      <c r="C31" s="20">
        <v>2.12678E-2</v>
      </c>
      <c r="D31" s="20">
        <v>2.47765E-2</v>
      </c>
      <c r="E31" s="20">
        <v>1.34777E-2</v>
      </c>
      <c r="F31" s="20">
        <v>2.23555E-2</v>
      </c>
    </row>
    <row r="32" spans="1:6" x14ac:dyDescent="0.35">
      <c r="A32" t="s">
        <v>359</v>
      </c>
      <c r="B32" s="20">
        <v>1.2586099999999999E-2</v>
      </c>
      <c r="C32" s="20">
        <v>2.4731199999999998E-2</v>
      </c>
      <c r="D32" s="20">
        <v>1.26283E-2</v>
      </c>
      <c r="E32" s="20">
        <v>2.7143199999999999E-2</v>
      </c>
      <c r="F32" s="20">
        <v>1.3516500000000001E-2</v>
      </c>
    </row>
    <row r="33" spans="1:6" x14ac:dyDescent="0.35">
      <c r="A33" t="s">
        <v>360</v>
      </c>
      <c r="B33" s="20">
        <v>7.7260700000000002E-2</v>
      </c>
      <c r="C33" s="20">
        <v>9.3498300000000006E-2</v>
      </c>
      <c r="D33" s="20">
        <v>7.6721700000000004E-2</v>
      </c>
      <c r="E33" s="20">
        <v>4.95004E-2</v>
      </c>
      <c r="F33" s="20">
        <v>8.6620299999999997E-2</v>
      </c>
    </row>
    <row r="34" spans="1:6" x14ac:dyDescent="0.35">
      <c r="A34" t="s">
        <v>361</v>
      </c>
      <c r="B34" s="20">
        <v>3.7858299999999998E-2</v>
      </c>
      <c r="C34" s="20">
        <v>4.8742800000000003E-2</v>
      </c>
      <c r="D34" s="20">
        <v>4.0325199999999999E-2</v>
      </c>
      <c r="E34" s="20">
        <v>5.4949900000000003E-2</v>
      </c>
      <c r="F34" s="20">
        <v>3.96689E-2</v>
      </c>
    </row>
    <row r="35" spans="1:6" x14ac:dyDescent="0.35">
      <c r="A35" t="s">
        <v>404</v>
      </c>
      <c r="B35" s="20">
        <v>8.9554999999999996E-2</v>
      </c>
      <c r="C35" s="20">
        <v>9.35806E-2</v>
      </c>
      <c r="D35" s="20">
        <v>8.4212099999999998E-2</v>
      </c>
      <c r="E35" s="20">
        <v>7.4305700000000002E-2</v>
      </c>
      <c r="F35" s="20">
        <v>8.7352899999999997E-2</v>
      </c>
    </row>
    <row r="36" spans="1:6" x14ac:dyDescent="0.35">
      <c r="A36" t="s">
        <v>363</v>
      </c>
      <c r="B36" s="20">
        <v>0.185391</v>
      </c>
      <c r="C36" s="20">
        <v>0.18936700000000001</v>
      </c>
      <c r="D36" s="20">
        <v>0.17577200000000001</v>
      </c>
      <c r="E36" s="20">
        <v>0.13781099999999999</v>
      </c>
      <c r="F36" s="20">
        <v>0.18404999999999999</v>
      </c>
    </row>
    <row r="39" spans="1:6" x14ac:dyDescent="0.35">
      <c r="B39" s="19" t="s">
        <v>152</v>
      </c>
      <c r="C39" s="19" t="s">
        <v>410</v>
      </c>
      <c r="D39" s="19" t="s">
        <v>153</v>
      </c>
      <c r="E39" s="19" t="s">
        <v>151</v>
      </c>
    </row>
    <row r="40" spans="1:6" x14ac:dyDescent="0.35">
      <c r="A40" s="9" t="s">
        <v>269</v>
      </c>
      <c r="B40" s="20">
        <f>AVERAGE(B5:B19)</f>
        <v>2.9217726666666669E-2</v>
      </c>
      <c r="C40" s="20">
        <f>AVERAGE(C5:C19)</f>
        <v>3.4247686666666666E-2</v>
      </c>
      <c r="D40" s="20">
        <f>AVERAGE(D5:D19)</f>
        <v>2.8752133333333332E-2</v>
      </c>
      <c r="E40" s="20">
        <f>AVERAGE(E5:E19)</f>
        <v>2.7560299999999996E-2</v>
      </c>
      <c r="F40" s="20"/>
    </row>
    <row r="41" spans="1:6" x14ac:dyDescent="0.35">
      <c r="A41" s="9" t="s">
        <v>271</v>
      </c>
      <c r="B41" s="20">
        <f>AVERAGE(B20:B36)</f>
        <v>6.4274276470588254E-2</v>
      </c>
      <c r="C41" s="20">
        <f>AVERAGE(C20:C36)</f>
        <v>6.6571488235294116E-2</v>
      </c>
      <c r="D41" s="20">
        <f>AVERAGE(D20:D36)</f>
        <v>6.4268205882352936E-2</v>
      </c>
      <c r="E41" s="20">
        <f>AVERAGE(E20:E36)</f>
        <v>5.5399682352941182E-2</v>
      </c>
      <c r="F41" s="20"/>
    </row>
    <row r="42" spans="1:6" x14ac:dyDescent="0.35">
      <c r="A42" s="9" t="s">
        <v>409</v>
      </c>
      <c r="B42" s="20">
        <f>AVERAGE(B5:B36)</f>
        <v>4.7841518750000013E-2</v>
      </c>
      <c r="C42" s="20">
        <f>AVERAGE(C5:C36)</f>
        <v>5.1419706250000002E-2</v>
      </c>
      <c r="D42" s="20">
        <f>AVERAGE(D5:D36)</f>
        <v>4.7620046875000009E-2</v>
      </c>
      <c r="E42" s="20">
        <f>AVERAGE(E5:E36)</f>
        <v>4.2349971874999996E-2</v>
      </c>
      <c r="F42" s="20"/>
    </row>
    <row r="43" spans="1:6" x14ac:dyDescent="0.35">
      <c r="A43" s="9" t="s">
        <v>411</v>
      </c>
      <c r="B43" s="20">
        <f>MAX(B5:B36)</f>
        <v>0.185391</v>
      </c>
      <c r="C43" s="20">
        <f>MAX(C5:C36)</f>
        <v>0.18936700000000001</v>
      </c>
      <c r="D43" s="20">
        <f>MAX(D5:D36)</f>
        <v>0.18750500000000001</v>
      </c>
      <c r="E43" s="20">
        <f>MAX(E5:E36)</f>
        <v>0.157442</v>
      </c>
      <c r="F43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Lotgering</vt:lpstr>
      <vt:lpstr>Sheet2</vt:lpstr>
      <vt:lpstr>Tau</vt:lpstr>
      <vt:lpstr>BellLot</vt:lpstr>
      <vt:lpstr>New Ref</vt:lpstr>
      <vt:lpstr>BI</vt:lpstr>
      <vt:lpstr>Branched Alkanes</vt:lpstr>
      <vt:lpstr>AAD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Eric S</dc:creator>
  <cp:lastModifiedBy>Huang, Eric S</cp:lastModifiedBy>
  <dcterms:created xsi:type="dcterms:W3CDTF">2025-10-15T12:49:38Z</dcterms:created>
  <dcterms:modified xsi:type="dcterms:W3CDTF">2025-11-26T10:40:44Z</dcterms:modified>
</cp:coreProperties>
</file>