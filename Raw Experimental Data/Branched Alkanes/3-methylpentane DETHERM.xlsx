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<sst xmlns="http://schemas.openxmlformats.org/spreadsheetml/2006/main" count="92" uniqueCount="60">
  <si>
    <t>3-methylpentane</t>
  </si>
  <si>
    <t>SYSTEMATICAL NAME</t>
  </si>
  <si>
    <t>SUM FORMULA</t>
  </si>
  <si>
    <t>C6H14</t>
  </si>
  <si>
    <t>CAS NO.</t>
  </si>
  <si>
    <t>96-14-0</t>
  </si>
  <si>
    <t>SYNONYMS</t>
  </si>
  <si>
    <t>diethylmethylmethane</t>
  </si>
  <si>
    <t>dimethylmethylmethane</t>
  </si>
  <si>
    <t>DELI-112386</t>
  </si>
  <si>
    <t>AUTHOR</t>
  </si>
  <si>
    <t>Wen,C.;Meng,X.;Wei,K.;Wu,J.</t>
  </si>
  <si>
    <t>TITLE</t>
  </si>
  <si>
    <t>Compressed Liquid Viscosity of 2-Methylpentane, 3-Methylpentane, and 2,3-Dimethylbutane at Temperatures from (273 to 343) K and Pressures up to 40 MPa</t>
  </si>
  <si>
    <t>JOURNAL</t>
  </si>
  <si>
    <t>J. Chem. Eng. Data</t>
  </si>
  <si>
    <t>CODEN</t>
  </si>
  <si>
    <t>JCEAAX</t>
  </si>
  <si>
    <t>VOLUME</t>
  </si>
  <si>
    <t>62</t>
  </si>
  <si>
    <t>ISSUE</t>
  </si>
  <si>
    <t>3</t>
  </si>
  <si>
    <t>PAGE</t>
  </si>
  <si>
    <t>1146-1152</t>
  </si>
  <si>
    <t>YEAR</t>
  </si>
  <si>
    <t>2017</t>
  </si>
  <si>
    <t>ISSN/ISBN</t>
  </si>
  <si>
    <t>0021-9568</t>
  </si>
  <si>
    <t>DOI</t>
  </si>
  <si>
    <t>No.</t>
  </si>
  <si>
    <t>T</t>
  </si>
  <si>
    <t>K</t>
  </si>
  <si>
    <t>p</t>
  </si>
  <si>
    <t>Pa</t>
  </si>
  <si>
    <t>dynamic viscosity/L</t>
  </si>
  <si>
    <t>Pa.s</t>
  </si>
  <si>
    <t>3-methylpentane - Dynamic viscosity</t>
  </si>
  <si>
    <t>Column-Description</t>
  </si>
  <si>
    <t>temperature</t>
  </si>
  <si>
    <t>pressure</t>
  </si>
  <si>
    <t>viscosity, dynamic, liquid</t>
  </si>
  <si>
    <t>Component</t>
  </si>
  <si>
    <t>References</t>
  </si>
  <si>
    <t>UTI</t>
  </si>
  <si>
    <t>DDB-PCP:2018/315500</t>
  </si>
  <si>
    <t>Literature</t>
  </si>
  <si>
    <t>DELI-026587</t>
  </si>
  <si>
    <t>Kuss,E.;Pollmann,P.</t>
  </si>
  <si>
    <t>Pressure dependance of the viscosity and branching factor of liquid alkanes</t>
  </si>
  <si>
    <t>Z. Phys. Chem. NF</t>
  </si>
  <si>
    <t>ZPCFAX</t>
  </si>
  <si>
    <t>68</t>
  </si>
  <si>
    <t>205-227</t>
  </si>
  <si>
    <t>1969</t>
  </si>
  <si>
    <t>LANGUAGE</t>
  </si>
  <si>
    <t>GERM</t>
  </si>
  <si>
    <t>0942-9352</t>
  </si>
  <si>
    <t>viscosity, dynamic, liquid, isothermal</t>
  </si>
  <si>
    <t>3-methylpentane - Purity: 99.80 %</t>
  </si>
  <si>
    <t>DDB-PCP:2007-DEC/158281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</si>
</sst>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7"/>
  <sheetFormatPr defaultRowHeight="15"/>
  <cols>
    <col min="1" max="1" width="20.7109375" customWidth="true"/>
  </cols>
  <sheetData>
    <row r="1">
      <c r="A1" s="1" t="s">
        <v>36</v>
      </c>
      <c r="B1" s="1"/>
      <c r="C1" s="1"/>
      <c r="D1" s="1"/>
    </row>
    <row r="2">
      <c r="A2" s="2" t="s">
        <v>29</v>
      </c>
      <c r="B2" s="2" t="s">
        <v>30</v>
      </c>
      <c r="C2" s="2" t="s">
        <v>32</v>
      </c>
      <c r="D2" s="2" t="s">
        <v>34</v>
      </c>
    </row>
    <row r="3">
      <c r="A3" s="2"/>
      <c r="B3" s="2"/>
      <c r="C3" s="2"/>
      <c r="D3" s="2"/>
    </row>
    <row r="4">
      <c r="A4" s="2"/>
      <c r="B4" s="2" t="s">
        <v>31</v>
      </c>
      <c r="C4" s="2" t="s">
        <v>33</v>
      </c>
      <c r="D4" s="2" t="s">
        <v>35</v>
      </c>
    </row>
    <row r="5">
      <c r="A5" s="2"/>
      <c r="B5" s="2">
        <v>1</v>
      </c>
      <c r="C5" s="2">
        <v>2</v>
      </c>
      <c r="D5" s="2">
        <v>3</v>
      </c>
    </row>
    <row r="6">
      <c r="A6" s="2">
        <v>1</v>
      </c>
      <c r="B6">
        <v>273.13999999999999</v>
      </c>
      <c r="C6">
        <v>1000000</v>
      </c>
      <c r="D6">
        <v>0.00038400000000000001</v>
      </c>
    </row>
    <row r="7">
      <c r="A7" s="2">
        <v>2</v>
      </c>
      <c r="B7">
        <v>273.13999999999999</v>
      </c>
      <c r="C7">
        <v>5000000</v>
      </c>
      <c r="D7">
        <v>0.00039790000000000002</v>
      </c>
    </row>
    <row r="8">
      <c r="A8" s="2">
        <v>3</v>
      </c>
      <c r="B8">
        <v>273.13999999999999</v>
      </c>
      <c r="C8">
        <v>10000000</v>
      </c>
      <c r="D8">
        <v>0.00041619999999999998</v>
      </c>
    </row>
    <row r="9">
      <c r="A9" s="2">
        <v>4</v>
      </c>
      <c r="B9">
        <v>273.13</v>
      </c>
      <c r="C9">
        <v>15000000</v>
      </c>
      <c r="D9">
        <v>0.00043689999999999999</v>
      </c>
    </row>
    <row r="10">
      <c r="A10" s="2">
        <v>5</v>
      </c>
      <c r="B10">
        <v>273.13999999999999</v>
      </c>
      <c r="C10">
        <v>20000000</v>
      </c>
      <c r="D10">
        <v>0.00046000000000000001</v>
      </c>
    </row>
    <row r="11">
      <c r="A11" s="2">
        <v>6</v>
      </c>
      <c r="B11">
        <v>273.13999999999999</v>
      </c>
      <c r="C11">
        <v>25000000</v>
      </c>
      <c r="D11">
        <v>0.00047849999999999998</v>
      </c>
    </row>
    <row r="12">
      <c r="A12" s="2">
        <v>7</v>
      </c>
      <c r="B12">
        <v>273.13999999999999</v>
      </c>
      <c r="C12">
        <v>30000000</v>
      </c>
      <c r="D12">
        <v>0.00049439999999999998</v>
      </c>
    </row>
    <row r="13">
      <c r="A13" s="2">
        <v>8</v>
      </c>
      <c r="B13">
        <v>273.13999999999999</v>
      </c>
      <c r="C13">
        <v>35000000</v>
      </c>
      <c r="D13">
        <v>0.00052010000000000001</v>
      </c>
    </row>
    <row r="14">
      <c r="A14" s="2">
        <v>9</v>
      </c>
      <c r="B14">
        <v>273.13999999999999</v>
      </c>
      <c r="C14">
        <v>40000000</v>
      </c>
      <c r="D14">
        <v>0.00053839999999999997</v>
      </c>
    </row>
    <row r="15">
      <c r="A15" s="2">
        <v>10</v>
      </c>
      <c r="B15">
        <v>283.13999999999999</v>
      </c>
      <c r="C15">
        <v>1000000</v>
      </c>
      <c r="D15">
        <v>0.00034590000000000001</v>
      </c>
    </row>
    <row r="16">
      <c r="A16" s="2">
        <v>11</v>
      </c>
      <c r="B16">
        <v>283.13999999999999</v>
      </c>
      <c r="C16">
        <v>5000000</v>
      </c>
      <c r="D16">
        <v>0.00035829999999999998</v>
      </c>
    </row>
    <row r="17">
      <c r="A17" s="2">
        <v>12</v>
      </c>
      <c r="B17">
        <v>283.13999999999999</v>
      </c>
      <c r="C17">
        <v>10000000</v>
      </c>
      <c r="D17">
        <v>0.00037429999999999999</v>
      </c>
    </row>
    <row r="18">
      <c r="A18" s="2">
        <v>13</v>
      </c>
      <c r="B18">
        <v>283.14999999999998</v>
      </c>
      <c r="C18">
        <v>15000000</v>
      </c>
      <c r="D18">
        <v>0.00039429999999999999</v>
      </c>
    </row>
    <row r="19">
      <c r="A19" s="2">
        <v>14</v>
      </c>
      <c r="B19">
        <v>283.13999999999999</v>
      </c>
      <c r="C19">
        <v>20000000</v>
      </c>
      <c r="D19">
        <v>0.00041310000000000001</v>
      </c>
    </row>
    <row r="20">
      <c r="A20" s="2">
        <v>15</v>
      </c>
      <c r="B20">
        <v>283.13999999999999</v>
      </c>
      <c r="C20">
        <v>25000000</v>
      </c>
      <c r="D20">
        <v>0.00043179999999999998</v>
      </c>
    </row>
    <row r="21">
      <c r="A21" s="2">
        <v>16</v>
      </c>
      <c r="B21">
        <v>283.13999999999999</v>
      </c>
      <c r="C21">
        <v>30000000</v>
      </c>
      <c r="D21">
        <v>0.00044850000000000001</v>
      </c>
    </row>
    <row r="22">
      <c r="A22" s="2">
        <v>17</v>
      </c>
      <c r="B22">
        <v>283.14999999999998</v>
      </c>
      <c r="C22">
        <v>35000000</v>
      </c>
      <c r="D22">
        <v>0.00046779999999999999</v>
      </c>
    </row>
    <row r="23">
      <c r="A23" s="2">
        <v>18</v>
      </c>
      <c r="B23">
        <v>283.14999999999998</v>
      </c>
      <c r="C23">
        <v>40000000</v>
      </c>
      <c r="D23">
        <v>0.00048730000000000003</v>
      </c>
    </row>
    <row r="24">
      <c r="A24" s="2">
        <v>19</v>
      </c>
      <c r="B24">
        <v>293.17000000000002</v>
      </c>
      <c r="C24">
        <v>1000000</v>
      </c>
      <c r="D24">
        <v>0.00031090000000000002</v>
      </c>
    </row>
    <row r="25">
      <c r="A25" s="2">
        <v>20</v>
      </c>
      <c r="B25">
        <v>293.17000000000002</v>
      </c>
      <c r="C25">
        <v>5000000</v>
      </c>
      <c r="D25">
        <v>0.00032299999999999999</v>
      </c>
    </row>
    <row r="26">
      <c r="A26" s="2">
        <v>21</v>
      </c>
      <c r="B26">
        <v>293.17000000000002</v>
      </c>
      <c r="C26">
        <v>10000000</v>
      </c>
      <c r="D26">
        <v>0.00033970000000000002</v>
      </c>
    </row>
    <row r="27">
      <c r="A27" s="2">
        <v>22</v>
      </c>
      <c r="B27">
        <v>293.16000000000003</v>
      </c>
      <c r="C27">
        <v>15000000</v>
      </c>
      <c r="D27">
        <v>0.00035619999999999998</v>
      </c>
    </row>
    <row r="28">
      <c r="A28" s="2">
        <v>23</v>
      </c>
      <c r="B28">
        <v>293.16000000000003</v>
      </c>
      <c r="C28">
        <v>20000000</v>
      </c>
      <c r="D28">
        <v>0.00037280000000000001</v>
      </c>
    </row>
    <row r="29">
      <c r="A29" s="2">
        <v>24</v>
      </c>
      <c r="B29">
        <v>293.16000000000003</v>
      </c>
      <c r="C29">
        <v>25000000</v>
      </c>
      <c r="D29">
        <v>0.00039060000000000001</v>
      </c>
    </row>
    <row r="30">
      <c r="A30" s="2">
        <v>25</v>
      </c>
      <c r="B30">
        <v>293.17000000000002</v>
      </c>
      <c r="C30">
        <v>30000000</v>
      </c>
      <c r="D30">
        <v>0.00040759999999999999</v>
      </c>
    </row>
    <row r="31">
      <c r="A31" s="2">
        <v>26</v>
      </c>
      <c r="B31">
        <v>293.16000000000003</v>
      </c>
      <c r="C31">
        <v>35000000</v>
      </c>
      <c r="D31">
        <v>0.0004237</v>
      </c>
    </row>
    <row r="32">
      <c r="A32" s="2">
        <v>27</v>
      </c>
      <c r="B32">
        <v>293.16000000000003</v>
      </c>
      <c r="C32">
        <v>40000000</v>
      </c>
      <c r="D32">
        <v>0.0004416</v>
      </c>
    </row>
    <row r="33">
      <c r="A33" s="2">
        <v>28</v>
      </c>
      <c r="B33">
        <v>303.16000000000003</v>
      </c>
      <c r="C33">
        <v>1000000</v>
      </c>
      <c r="D33">
        <v>0.00028239999999999998</v>
      </c>
    </row>
    <row r="34">
      <c r="A34" s="2">
        <v>29</v>
      </c>
      <c r="B34">
        <v>303.16000000000003</v>
      </c>
      <c r="C34">
        <v>5000000</v>
      </c>
      <c r="D34">
        <v>0.00029379999999999999</v>
      </c>
    </row>
    <row r="35">
      <c r="A35" s="2">
        <v>30</v>
      </c>
      <c r="B35">
        <v>303.16000000000003</v>
      </c>
      <c r="C35">
        <v>10000000</v>
      </c>
      <c r="D35">
        <v>0.00030919999999999998</v>
      </c>
    </row>
    <row r="36">
      <c r="A36" s="2">
        <v>31</v>
      </c>
      <c r="B36">
        <v>303.16000000000003</v>
      </c>
      <c r="C36">
        <v>15000000</v>
      </c>
      <c r="D36">
        <v>0.00032469999999999998</v>
      </c>
    </row>
    <row r="37">
      <c r="A37" s="2">
        <v>32</v>
      </c>
      <c r="B37">
        <v>303.16000000000003</v>
      </c>
      <c r="C37">
        <v>20000000</v>
      </c>
      <c r="D37">
        <v>0.00034099999999999999</v>
      </c>
    </row>
    <row r="38">
      <c r="A38" s="2">
        <v>33</v>
      </c>
      <c r="B38">
        <v>303.16000000000003</v>
      </c>
      <c r="C38">
        <v>25000000</v>
      </c>
      <c r="D38">
        <v>0.00035740000000000001</v>
      </c>
    </row>
    <row r="39">
      <c r="A39" s="2">
        <v>34</v>
      </c>
      <c r="B39">
        <v>303.16000000000003</v>
      </c>
      <c r="C39">
        <v>30000000</v>
      </c>
      <c r="D39">
        <v>0.0003723</v>
      </c>
    </row>
    <row r="40">
      <c r="A40" s="2">
        <v>35</v>
      </c>
      <c r="B40">
        <v>303.14999999999998</v>
      </c>
      <c r="C40">
        <v>35000000</v>
      </c>
      <c r="D40">
        <v>0.00038769999999999999</v>
      </c>
    </row>
    <row r="41">
      <c r="A41" s="2">
        <v>36</v>
      </c>
      <c r="B41">
        <v>303.16000000000003</v>
      </c>
      <c r="C41">
        <v>40000000</v>
      </c>
      <c r="D41">
        <v>0.00040420000000000001</v>
      </c>
    </row>
    <row r="42">
      <c r="A42" s="2">
        <v>37</v>
      </c>
      <c r="B42">
        <v>313.16000000000003</v>
      </c>
      <c r="C42">
        <v>1000000</v>
      </c>
      <c r="D42">
        <v>0.00025680000000000001</v>
      </c>
    </row>
    <row r="43">
      <c r="A43" s="2">
        <v>38</v>
      </c>
      <c r="B43">
        <v>313.16000000000003</v>
      </c>
      <c r="C43">
        <v>5000000</v>
      </c>
      <c r="D43">
        <v>0.00026790000000000001</v>
      </c>
    </row>
    <row r="44">
      <c r="A44" s="2">
        <v>39</v>
      </c>
      <c r="B44">
        <v>313.17000000000002</v>
      </c>
      <c r="C44">
        <v>10000000</v>
      </c>
      <c r="D44">
        <v>0.00028190000000000002</v>
      </c>
    </row>
    <row r="45">
      <c r="A45" s="2">
        <v>40</v>
      </c>
      <c r="B45">
        <v>313.13999999999999</v>
      </c>
      <c r="C45">
        <v>15000000</v>
      </c>
      <c r="D45">
        <v>0.00029730000000000002</v>
      </c>
    </row>
    <row r="46">
      <c r="A46" s="2">
        <v>41</v>
      </c>
      <c r="B46">
        <v>313.16000000000003</v>
      </c>
      <c r="C46">
        <v>20000000</v>
      </c>
      <c r="D46">
        <v>0.00031159999999999998</v>
      </c>
    </row>
    <row r="47">
      <c r="A47" s="2">
        <v>42</v>
      </c>
      <c r="B47">
        <v>313.14999999999998</v>
      </c>
      <c r="C47">
        <v>25000000</v>
      </c>
      <c r="D47">
        <v>0.00032610000000000001</v>
      </c>
    </row>
    <row r="48">
      <c r="A48" s="2">
        <v>43</v>
      </c>
      <c r="B48">
        <v>313.16000000000003</v>
      </c>
      <c r="C48">
        <v>30000000</v>
      </c>
      <c r="D48">
        <v>0.0003413</v>
      </c>
    </row>
    <row r="49">
      <c r="A49" s="2">
        <v>44</v>
      </c>
      <c r="B49">
        <v>313.16000000000003</v>
      </c>
      <c r="C49">
        <v>35000000</v>
      </c>
      <c r="D49">
        <v>0.00035570000000000003</v>
      </c>
    </row>
    <row r="50">
      <c r="A50" s="2">
        <v>45</v>
      </c>
      <c r="B50">
        <v>313.16000000000003</v>
      </c>
      <c r="C50">
        <v>40000000</v>
      </c>
      <c r="D50">
        <v>0.0003704</v>
      </c>
    </row>
    <row r="51">
      <c r="A51" s="2">
        <v>46</v>
      </c>
      <c r="B51">
        <v>323.16000000000003</v>
      </c>
      <c r="C51">
        <v>1000000</v>
      </c>
      <c r="D51">
        <v>0.0002351</v>
      </c>
    </row>
    <row r="52">
      <c r="A52" s="2">
        <v>47</v>
      </c>
      <c r="B52">
        <v>323.17000000000002</v>
      </c>
      <c r="C52">
        <v>5000000</v>
      </c>
      <c r="D52">
        <v>0.00024509999999999999</v>
      </c>
    </row>
    <row r="53">
      <c r="A53" s="2">
        <v>48</v>
      </c>
      <c r="B53">
        <v>323.17000000000002</v>
      </c>
      <c r="C53">
        <v>10000000</v>
      </c>
      <c r="D53">
        <v>0.00025930000000000001</v>
      </c>
    </row>
    <row r="54">
      <c r="A54" s="2">
        <v>49</v>
      </c>
      <c r="B54">
        <v>323.17000000000002</v>
      </c>
      <c r="C54">
        <v>15000000</v>
      </c>
      <c r="D54">
        <v>0.0002744</v>
      </c>
    </row>
    <row r="55">
      <c r="A55" s="2">
        <v>50</v>
      </c>
      <c r="B55">
        <v>323.17000000000002</v>
      </c>
      <c r="C55">
        <v>20000000</v>
      </c>
      <c r="D55">
        <v>0.00028709999999999999</v>
      </c>
    </row>
    <row r="56">
      <c r="A56" s="2">
        <v>51</v>
      </c>
      <c r="B56">
        <v>323.17000000000002</v>
      </c>
      <c r="C56">
        <v>25000000</v>
      </c>
      <c r="D56">
        <v>0.00029999999999999997</v>
      </c>
    </row>
    <row r="57">
      <c r="A57" s="2">
        <v>52</v>
      </c>
      <c r="B57">
        <v>323.17000000000002</v>
      </c>
      <c r="C57">
        <v>30000000</v>
      </c>
      <c r="D57">
        <v>0.0003143</v>
      </c>
    </row>
    <row r="58">
      <c r="A58" s="2">
        <v>53</v>
      </c>
      <c r="B58">
        <v>323.17000000000002</v>
      </c>
      <c r="C58">
        <v>35000000</v>
      </c>
      <c r="D58">
        <v>0.00032830000000000001</v>
      </c>
    </row>
    <row r="59">
      <c r="A59" s="2">
        <v>54</v>
      </c>
      <c r="B59">
        <v>323.17000000000002</v>
      </c>
      <c r="C59">
        <v>40000000</v>
      </c>
      <c r="D59">
        <v>0.00034089999999999999</v>
      </c>
    </row>
    <row r="60">
      <c r="A60" s="2">
        <v>55</v>
      </c>
      <c r="B60">
        <v>333.14999999999998</v>
      </c>
      <c r="C60">
        <v>1000000</v>
      </c>
      <c r="D60">
        <v>0.00021489999999999999</v>
      </c>
    </row>
    <row r="61">
      <c r="A61" s="2">
        <v>56</v>
      </c>
      <c r="B61">
        <v>333.16000000000003</v>
      </c>
      <c r="C61">
        <v>5000000</v>
      </c>
      <c r="D61">
        <v>0.0002251</v>
      </c>
    </row>
    <row r="62">
      <c r="A62" s="2">
        <v>57</v>
      </c>
      <c r="B62">
        <v>333.16000000000003</v>
      </c>
      <c r="C62">
        <v>10000000</v>
      </c>
      <c r="D62">
        <v>0.00023670000000000001</v>
      </c>
    </row>
    <row r="63">
      <c r="A63" s="2">
        <v>58</v>
      </c>
      <c r="B63">
        <v>333.16000000000003</v>
      </c>
      <c r="C63">
        <v>15000000</v>
      </c>
      <c r="D63">
        <v>0.00025090000000000003</v>
      </c>
    </row>
    <row r="64">
      <c r="A64" s="2">
        <v>59</v>
      </c>
      <c r="B64">
        <v>333.16000000000003</v>
      </c>
      <c r="C64">
        <v>20000000</v>
      </c>
      <c r="D64">
        <v>0.00026370000000000001</v>
      </c>
    </row>
    <row r="65">
      <c r="A65" s="2">
        <v>60</v>
      </c>
      <c r="B65">
        <v>333.16000000000003</v>
      </c>
      <c r="C65">
        <v>25000000</v>
      </c>
      <c r="D65">
        <v>0.0002789</v>
      </c>
    </row>
    <row r="66">
      <c r="A66" s="2">
        <v>61</v>
      </c>
      <c r="B66">
        <v>333.16000000000003</v>
      </c>
      <c r="C66">
        <v>30000000</v>
      </c>
      <c r="D66">
        <v>0.0002901</v>
      </c>
    </row>
    <row r="67">
      <c r="A67" s="2">
        <v>62</v>
      </c>
      <c r="B67">
        <v>333.16000000000003</v>
      </c>
      <c r="C67">
        <v>35000000</v>
      </c>
      <c r="D67">
        <v>0.00030309999999999999</v>
      </c>
    </row>
    <row r="68">
      <c r="A68" s="2">
        <v>63</v>
      </c>
      <c r="B68">
        <v>333.17000000000002</v>
      </c>
      <c r="C68">
        <v>40000000</v>
      </c>
      <c r="D68">
        <v>0.00031550000000000003</v>
      </c>
    </row>
    <row r="69">
      <c r="A69" s="2">
        <v>64</v>
      </c>
      <c r="B69">
        <v>343.14999999999998</v>
      </c>
      <c r="C69">
        <v>1000000</v>
      </c>
      <c r="D69">
        <v>0.00019799999999999999</v>
      </c>
    </row>
    <row r="70">
      <c r="A70" s="2">
        <v>65</v>
      </c>
      <c r="B70">
        <v>343.14999999999998</v>
      </c>
      <c r="C70">
        <v>5000000</v>
      </c>
      <c r="D70">
        <v>0.0002075</v>
      </c>
    </row>
    <row r="71">
      <c r="A71" s="2">
        <v>66</v>
      </c>
      <c r="B71">
        <v>343.16000000000003</v>
      </c>
      <c r="C71">
        <v>10000000</v>
      </c>
      <c r="D71">
        <v>0.0002195</v>
      </c>
    </row>
    <row r="72">
      <c r="A72" s="2">
        <v>67</v>
      </c>
      <c r="B72">
        <v>343.16000000000003</v>
      </c>
      <c r="C72">
        <v>15000000</v>
      </c>
      <c r="D72">
        <v>0.00023240000000000001</v>
      </c>
    </row>
    <row r="73">
      <c r="A73" s="2">
        <v>68</v>
      </c>
      <c r="B73">
        <v>343.16000000000003</v>
      </c>
      <c r="C73">
        <v>20000000</v>
      </c>
      <c r="D73">
        <v>0.00024679999999999998</v>
      </c>
    </row>
    <row r="74">
      <c r="A74" s="2">
        <v>69</v>
      </c>
      <c r="B74">
        <v>343.16000000000003</v>
      </c>
      <c r="C74">
        <v>25000000</v>
      </c>
      <c r="D74">
        <v>0.0002587</v>
      </c>
    </row>
    <row r="75">
      <c r="A75" s="2">
        <v>70</v>
      </c>
      <c r="B75">
        <v>343.14999999999998</v>
      </c>
      <c r="C75">
        <v>30000000</v>
      </c>
      <c r="D75">
        <v>0.00027129999999999998</v>
      </c>
    </row>
    <row r="76">
      <c r="A76" s="2">
        <v>71</v>
      </c>
      <c r="B76">
        <v>343.16000000000003</v>
      </c>
      <c r="C76">
        <v>35000000</v>
      </c>
      <c r="D76">
        <v>0.00028259999999999998</v>
      </c>
    </row>
    <row r="77">
      <c r="A77" s="2">
        <v>72</v>
      </c>
      <c r="B77">
        <v>343.14999999999998</v>
      </c>
      <c r="C77">
        <v>40000000</v>
      </c>
      <c r="D77">
        <v>0.00029389999999999999</v>
      </c>
    </row>
    <row r="78">
      <c r="A78" s="3" t="s">
        <v>37</v>
      </c>
      <c r="B78" s="3"/>
      <c r="C78" s="3"/>
      <c r="D78" s="3"/>
    </row>
    <row r="79">
      <c r="A79" s="2">
        <v>1</v>
      </c>
      <c r="B79" t="s">
        <v>30</v>
      </c>
      <c r="C79" t="s">
        <v>38</v>
      </c>
    </row>
    <row r="80">
      <c r="A80" s="2">
        <v>2</v>
      </c>
      <c r="B80" t="s">
        <v>32</v>
      </c>
      <c r="C80" t="s">
        <v>39</v>
      </c>
    </row>
    <row r="81">
      <c r="A81" s="2">
        <v>3</v>
      </c>
      <c r="B81" t="s">
        <v>34</v>
      </c>
      <c r="C81" t="s">
        <v>40</v>
      </c>
    </row>
    <row r="82">
      <c r="A82" s="3" t="s">
        <v>41</v>
      </c>
      <c r="B82" s="0"/>
      <c r="C82" s="0"/>
      <c r="D82" s="0"/>
    </row>
    <row r="83">
      <c r="A83" s="2">
        <v>1</v>
      </c>
      <c r="B83">
        <f>HYPERLINK("#Components!A1","96-14-0")</f>
      </c>
      <c r="C83" t="s">
        <v>0</v>
      </c>
    </row>
    <row r="84">
      <c r="A84" s="3" t="s">
        <v>42</v>
      </c>
      <c r="B84" s="0"/>
      <c r="C84" s="0"/>
      <c r="D84" s="0"/>
    </row>
    <row r="85">
      <c r="A85" s="2" t="s">
        <v>43</v>
      </c>
      <c r="B85" t="s">
        <v>44</v>
      </c>
    </row>
    <row r="86">
      <c r="A86" s="2" t="s">
        <v>45</v>
      </c>
      <c r="B86">
        <f>HYPERLINK("#References!A1","DELI-112386")</f>
      </c>
    </row>
    <row r="88">
      <c r="A88" s="1" t="s">
        <v>36</v>
      </c>
      <c r="B88" s="1"/>
      <c r="C88" s="1"/>
      <c r="D88" s="1"/>
    </row>
    <row r="89">
      <c r="A89" s="2" t="s">
        <v>29</v>
      </c>
      <c r="B89" s="2" t="s">
        <v>30</v>
      </c>
      <c r="C89" s="2" t="s">
        <v>32</v>
      </c>
      <c r="D89" s="2" t="s">
        <v>34</v>
      </c>
    </row>
    <row r="90">
      <c r="A90" s="2"/>
      <c r="B90" s="2"/>
      <c r="C90" s="2"/>
      <c r="D90" s="2"/>
    </row>
    <row r="91">
      <c r="A91" s="2"/>
      <c r="B91" s="2" t="s">
        <v>31</v>
      </c>
      <c r="C91" s="2" t="s">
        <v>33</v>
      </c>
      <c r="D91" s="2" t="s">
        <v>35</v>
      </c>
    </row>
    <row r="92">
      <c r="A92" s="2"/>
      <c r="B92" s="2">
        <v>1</v>
      </c>
      <c r="C92" s="2">
        <v>2</v>
      </c>
      <c r="D92" s="2">
        <v>3</v>
      </c>
    </row>
    <row r="93">
      <c r="A93" s="2">
        <v>1</v>
      </c>
      <c r="B93">
        <v>313.14999999999998</v>
      </c>
      <c r="C93">
        <v>98066.5</v>
      </c>
      <c r="D93">
        <v>0.00024699999999999999</v>
      </c>
    </row>
    <row r="94">
      <c r="A94" s="2">
        <v>2</v>
      </c>
      <c r="B94">
        <v>313.14999999999998</v>
      </c>
      <c r="C94">
        <v>29419950</v>
      </c>
      <c r="D94">
        <v>0.00033300000000000002</v>
      </c>
    </row>
    <row r="95">
      <c r="A95" s="2">
        <v>3</v>
      </c>
      <c r="B95">
        <v>313.14999999999998</v>
      </c>
      <c r="C95">
        <v>58839900</v>
      </c>
      <c r="D95">
        <v>0.00041899999999999999</v>
      </c>
    </row>
    <row r="96">
      <c r="A96" s="2">
        <v>4</v>
      </c>
      <c r="B96">
        <v>313.14999999999998</v>
      </c>
      <c r="C96">
        <v>88259850</v>
      </c>
      <c r="D96">
        <v>0.00050699999999999996</v>
      </c>
    </row>
    <row r="97">
      <c r="A97" s="2">
        <v>5</v>
      </c>
      <c r="B97">
        <v>313.14999999999998</v>
      </c>
      <c r="C97">
        <v>117679800</v>
      </c>
      <c r="D97">
        <v>0.00060099999999999997</v>
      </c>
    </row>
    <row r="98">
      <c r="A98" s="2">
        <v>6</v>
      </c>
      <c r="B98">
        <v>313.14999999999998</v>
      </c>
      <c r="C98">
        <v>147099800</v>
      </c>
      <c r="D98">
        <v>0.00069800000000000005</v>
      </c>
    </row>
    <row r="99">
      <c r="A99" s="3" t="s">
        <v>37</v>
      </c>
      <c r="B99" s="3"/>
      <c r="C99" s="3"/>
      <c r="D99" s="3"/>
    </row>
    <row r="100">
      <c r="A100" s="2">
        <v>1</v>
      </c>
      <c r="B100" t="s">
        <v>30</v>
      </c>
      <c r="C100" t="s">
        <v>38</v>
      </c>
    </row>
    <row r="101">
      <c r="A101" s="2">
        <v>2</v>
      </c>
      <c r="B101" t="s">
        <v>32</v>
      </c>
      <c r="C101" t="s">
        <v>39</v>
      </c>
    </row>
    <row r="102">
      <c r="A102" s="2">
        <v>3</v>
      </c>
      <c r="B102" t="s">
        <v>34</v>
      </c>
      <c r="C102" t="s">
        <v>57</v>
      </c>
    </row>
    <row r="103">
      <c r="A103" s="3" t="s">
        <v>41</v>
      </c>
      <c r="B103" s="0"/>
      <c r="C103" s="0"/>
      <c r="D103" s="0"/>
    </row>
    <row r="104">
      <c r="A104" s="2">
        <v>1</v>
      </c>
      <c r="B104">
        <f>HYPERLINK("#Components!A1","96-14-0")</f>
      </c>
      <c r="C104" t="s">
        <v>58</v>
      </c>
    </row>
    <row r="105">
      <c r="A105" s="3" t="s">
        <v>42</v>
      </c>
      <c r="B105" s="0"/>
      <c r="C105" s="0"/>
      <c r="D105" s="0"/>
    </row>
    <row r="106">
      <c r="A106" s="2" t="s">
        <v>43</v>
      </c>
      <c r="B106" t="s">
        <v>59</v>
      </c>
    </row>
    <row r="107">
      <c r="A107" s="2" t="s">
        <v>45</v>
      </c>
      <c r="B107">
        <f>HYPERLINK("#References!A13","DELI-026587")</f>
      </c>
    </row>
  </sheetData>
  <mergeCells count="8">
    <mergeCell ref="A2:A5"/>
    <mergeCell ref="A78:D78"/>
    <mergeCell ref="A82:D82"/>
    <mergeCell ref="A84:D84"/>
    <mergeCell ref="A89:A92"/>
    <mergeCell ref="A99:D99"/>
    <mergeCell ref="A103:D103"/>
    <mergeCell ref="A105:D10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B6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FormatPr defaultRowHeight="15"/>
  <cols>
    <col min="1" max="2" width="20.7109375" customWidth="true"/>
  </cols>
  <sheetData>
    <row r="1">
      <c r="A1" s="1" t="s">
        <v>9</v>
      </c>
      <c r="B1" s="1"/>
      <c r="C1" s="1"/>
      <c r="D1" s="1"/>
      <c r="E1" s="1"/>
      <c r="F1" s="1"/>
      <c r="G1" s="1"/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>
        <f>HYPERLINK("http://dx.doi.org/10.1021/acs.jced.6b01024","10.1021/acs.jced.6b01024")</f>
      </c>
    </row>
    <row r="13">
      <c r="A13" s="1" t="s">
        <v>46</v>
      </c>
      <c r="B13" s="1"/>
      <c r="C13" s="1"/>
      <c r="D13" s="1"/>
      <c r="E13" s="1"/>
      <c r="F13" s="1"/>
      <c r="G13" s="1"/>
    </row>
    <row r="14">
      <c r="A14" t="s">
        <v>10</v>
      </c>
      <c r="B14" t="s">
        <v>47</v>
      </c>
    </row>
    <row r="15">
      <c r="A15" t="s">
        <v>12</v>
      </c>
      <c r="B15" t="s">
        <v>48</v>
      </c>
    </row>
    <row r="16">
      <c r="A16" t="s">
        <v>14</v>
      </c>
      <c r="B16" t="s">
        <v>49</v>
      </c>
    </row>
    <row r="17">
      <c r="A17" t="s">
        <v>16</v>
      </c>
      <c r="B17" t="s">
        <v>50</v>
      </c>
    </row>
    <row r="18">
      <c r="A18" t="s">
        <v>18</v>
      </c>
      <c r="B18" t="s">
        <v>51</v>
      </c>
    </row>
    <row r="19">
      <c r="A19" t="s">
        <v>22</v>
      </c>
      <c r="B19" t="s">
        <v>52</v>
      </c>
    </row>
    <row r="20">
      <c r="A20" t="s">
        <v>24</v>
      </c>
      <c r="B20" t="s">
        <v>53</v>
      </c>
    </row>
    <row r="21">
      <c r="A21" t="s">
        <v>54</v>
      </c>
      <c r="B21" t="s">
        <v>55</v>
      </c>
    </row>
    <row r="22">
      <c r="A22" t="s">
        <v>26</v>
      </c>
      <c r="B22" t="s">
        <v>56</v>
      </c>
    </row>
    <row r="23">
      <c r="A23" t="s">
        <v>28</v>
      </c>
      <c r="B23">
        <f>HYPERLINK("http://dx.doi.org/10.1524/zpch.1969.68.3_6.205","10.1524/zpch.1969.68.3_6.205")</f>
      </c>
    </row>
  </sheetData>
</worksheet>
</file>