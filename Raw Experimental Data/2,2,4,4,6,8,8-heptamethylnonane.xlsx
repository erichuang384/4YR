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<sst xmlns="http://schemas.openxmlformats.org/spreadsheetml/2006/main" count="179" uniqueCount="82">
  <si>
    <t>2,2,4,4,6,8,8-heptamethylnonane</t>
  </si>
  <si>
    <t>SYSTEMATICAL NAME</t>
  </si>
  <si>
    <t>SUM FORMULA</t>
  </si>
  <si>
    <t>C16H34</t>
  </si>
  <si>
    <t>CAS NO.</t>
  </si>
  <si>
    <t>4390-04-9</t>
  </si>
  <si>
    <t>DELI-038540</t>
  </si>
  <si>
    <t>AUTHOR</t>
  </si>
  <si>
    <t>Barrouhou,M.;Zeberg-Mikkelsen,C.K.;Baylaucq,A.;Boned,C.</t>
  </si>
  <si>
    <t>TITLE</t>
  </si>
  <si>
    <t>High-Pressure Viscosity and Density Measurements for the Asymmetric Binary System cis-Decalin + 2,2,4,4,6,8,8-Heptamethylnonane</t>
  </si>
  <si>
    <t>JOURNAL</t>
  </si>
  <si>
    <t>Int. J. Thermophys.</t>
  </si>
  <si>
    <t>CODEN</t>
  </si>
  <si>
    <t>IJTHDY</t>
  </si>
  <si>
    <t>VOLUME</t>
  </si>
  <si>
    <t>24</t>
  </si>
  <si>
    <t>ISSUE</t>
  </si>
  <si>
    <t>4</t>
  </si>
  <si>
    <t>PAGE</t>
  </si>
  <si>
    <t>937-952</t>
  </si>
  <si>
    <t>YEAR</t>
  </si>
  <si>
    <t>2003</t>
  </si>
  <si>
    <t>LANGUAGE</t>
  </si>
  <si>
    <t>ENGL</t>
  </si>
  <si>
    <t>ISSN/ISBN</t>
  </si>
  <si>
    <t>0195-928X</t>
  </si>
  <si>
    <t>DOI</t>
  </si>
  <si>
    <t>No.</t>
  </si>
  <si>
    <t>T</t>
  </si>
  <si>
    <t>K</t>
  </si>
  <si>
    <t/>
  </si>
  <si>
    <t>p</t>
  </si>
  <si>
    <t>Pa</t>
  </si>
  <si>
    <t>dynamic viscosity/L</t>
  </si>
  <si>
    <t>Pa.s</t>
  </si>
  <si>
    <t>2,2,4,4,6,8,8-heptamethylnonane - Dynamic viscosity</t>
  </si>
  <si>
    <t>Column-Description</t>
  </si>
  <si>
    <t>temperature</t>
  </si>
  <si>
    <t>pressure</t>
  </si>
  <si>
    <t>viscosity, dynamic, liquid</t>
  </si>
  <si>
    <t>Component</t>
  </si>
  <si>
    <t>2,2,4,4,6,8,8-heptamethylnonane - Purity: 99.20 %</t>
  </si>
  <si>
    <t>References</t>
  </si>
  <si>
    <t>UTI</t>
  </si>
  <si>
    <t>DDB-PCP:2007-DEC/149251</t>
  </si>
  <si>
    <t>Literature</t>
  </si>
  <si>
    <t>DELI-032534</t>
  </si>
  <si>
    <t>Et-Tahir,A.;Boned,C.;Lagourette,B.;Xans,P.</t>
  </si>
  <si>
    <t>Determination of the Viscosity of Various Hydrocarbons and Mixtures of Hydrocarbons Versus Temperature and Pressure</t>
  </si>
  <si>
    <t>16</t>
  </si>
  <si>
    <t>6</t>
  </si>
  <si>
    <t>1309-1334</t>
  </si>
  <si>
    <t>1995</t>
  </si>
  <si>
    <t>2,2,4,4,6,8,8-heptamethylnonane - Purity: 97.00 %</t>
  </si>
  <si>
    <t>DDB-PCP:2007-DEC/38654</t>
  </si>
  <si>
    <t>DELI-037474</t>
  </si>
  <si>
    <t>Krahn,U.G.;Luft,G.</t>
  </si>
  <si>
    <t>Viscosity of several liquid hydrocarbons in the temperature range 298 - 453 K at pressures up to 200 MPa</t>
  </si>
  <si>
    <t>J. Chem. Eng. Data</t>
  </si>
  <si>
    <t>JCEAAX</t>
  </si>
  <si>
    <t>39</t>
  </si>
  <si>
    <t>670-672</t>
  </si>
  <si>
    <t>1994</t>
  </si>
  <si>
    <t>0021-9568</t>
  </si>
  <si>
    <t>viscosity, dynamic, liquid, isothermal</t>
  </si>
  <si>
    <t>2,2,4,4,6,8,8-heptamethylnonane - Purity: 98.00 %</t>
  </si>
  <si>
    <t>DDB-PCP:2007-DEC/36705</t>
  </si>
  <si>
    <t>DELI-133943</t>
  </si>
  <si>
    <t>Klein,T.;Lenahan,F.D.;Kerscher,M.;Rausch,M.H.;Economou,I.G.;Koller,T.M.;Froeba,A.P.</t>
  </si>
  <si>
    <t>Characterization of Long Linear and Branched Alkanes and Alcohols for Temperatures up to 573.15 K by Surface Light Scattering and Molecular Dynamics Simulations</t>
  </si>
  <si>
    <t>J. Phys. Chem. B</t>
  </si>
  <si>
    <t>JPCBFK</t>
  </si>
  <si>
    <t>124</t>
  </si>
  <si>
    <t>20</t>
  </si>
  <si>
    <t>4146-4163</t>
  </si>
  <si>
    <t>2020</t>
  </si>
  <si>
    <t>1089-5647</t>
  </si>
  <si>
    <t>surface tension/L</t>
  </si>
  <si>
    <t>N/m</t>
  </si>
  <si>
    <t>surface tension, liquid</t>
  </si>
  <si>
    <t>DDB-PCP:2023/400271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</si>
</sst>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8"/>
  <sheetFormatPr defaultRowHeight="15"/>
  <cols>
    <col min="1" max="1" width="20.7109375" customWidth="true"/>
  </cols>
  <sheetData>
    <row r="1">
      <c r="A1" s="1" t="s">
        <v>36</v>
      </c>
      <c r="B1" s="1"/>
      <c r="C1" s="1"/>
      <c r="D1" s="1"/>
      <c r="E1" s="1"/>
      <c r="F1" s="1"/>
    </row>
    <row r="2">
      <c r="A2" s="2" t="s">
        <v>28</v>
      </c>
      <c r="B2" s="2" t="s">
        <v>29</v>
      </c>
      <c r="C2" s="2"/>
      <c r="D2" s="2" t="s">
        <v>32</v>
      </c>
      <c r="E2" s="2" t="s">
        <v>34</v>
      </c>
      <c r="F2" s="2"/>
    </row>
    <row r="3">
      <c r="A3" s="2"/>
      <c r="B3" s="2"/>
      <c r="C3" s="2"/>
      <c r="D3" s="2"/>
      <c r="E3" s="2"/>
      <c r="F3" s="2"/>
    </row>
    <row r="4">
      <c r="A4" s="2"/>
      <c r="B4" s="2" t="s">
        <v>30</v>
      </c>
      <c r="C4" s="2" t="s">
        <v>31</v>
      </c>
      <c r="D4" s="2" t="s">
        <v>33</v>
      </c>
      <c r="E4" s="2" t="s">
        <v>35</v>
      </c>
      <c r="F4" s="2" t="s">
        <v>31</v>
      </c>
    </row>
    <row r="5">
      <c r="A5" s="2"/>
      <c r="B5" s="2">
        <v>1</v>
      </c>
      <c r="C5" s="2"/>
      <c r="D5" s="2">
        <v>2</v>
      </c>
      <c r="E5" s="2">
        <v>3</v>
      </c>
      <c r="F5" s="2"/>
    </row>
    <row r="6">
      <c r="A6" s="2">
        <v>1</v>
      </c>
      <c r="B6">
        <v>293.14999999999998</v>
      </c>
      <c r="C6" s="5">
        <v>0.5</v>
      </c>
      <c r="D6">
        <v>100000</v>
      </c>
      <c r="E6">
        <v>0.0037820000000000002</v>
      </c>
      <c r="F6" s="5">
        <v>3.782e-05</v>
      </c>
    </row>
    <row r="7">
      <c r="A7" s="2">
        <v>2</v>
      </c>
      <c r="B7">
        <v>293.14999999999998</v>
      </c>
      <c r="C7" s="5">
        <v>0.5</v>
      </c>
      <c r="D7">
        <v>20000000</v>
      </c>
      <c r="E7">
        <v>0.0054770000000000001</v>
      </c>
      <c r="F7" s="5">
        <v>5.4769999999999999e-05</v>
      </c>
    </row>
    <row r="8">
      <c r="A8" s="2">
        <v>3</v>
      </c>
      <c r="B8">
        <v>293.14999999999998</v>
      </c>
      <c r="C8" s="5">
        <v>0.5</v>
      </c>
      <c r="D8">
        <v>40000000</v>
      </c>
      <c r="E8">
        <v>0.0077910000000000002</v>
      </c>
      <c r="F8" s="5">
        <v>7.7910000000000005e-05</v>
      </c>
    </row>
    <row r="9">
      <c r="A9" s="2">
        <v>4</v>
      </c>
      <c r="B9">
        <v>293.14999999999998</v>
      </c>
      <c r="C9" s="5">
        <v>0.5</v>
      </c>
      <c r="D9">
        <v>60000000</v>
      </c>
      <c r="E9">
        <v>0.011129999999999999</v>
      </c>
      <c r="F9" s="5">
        <v>0.00011129999999999999</v>
      </c>
    </row>
    <row r="10">
      <c r="A10" s="2">
        <v>5</v>
      </c>
      <c r="B10">
        <v>293.14999999999998</v>
      </c>
      <c r="C10" s="5">
        <v>0.5</v>
      </c>
      <c r="D10">
        <v>80000000</v>
      </c>
      <c r="E10">
        <v>0.01592</v>
      </c>
      <c r="F10" s="5">
        <v>0.00015919999999999999</v>
      </c>
    </row>
    <row r="11">
      <c r="A11" s="2">
        <v>6</v>
      </c>
      <c r="B11">
        <v>293.14999999999998</v>
      </c>
      <c r="C11" s="5">
        <v>0.5</v>
      </c>
      <c r="D11">
        <v>100000000</v>
      </c>
      <c r="E11">
        <v>0.022769999999999999</v>
      </c>
      <c r="F11" s="5">
        <v>0.00022770000000000001</v>
      </c>
    </row>
    <row r="12">
      <c r="A12" s="2">
        <v>7</v>
      </c>
      <c r="B12">
        <v>303.14999999999998</v>
      </c>
      <c r="C12" s="5">
        <v>0.5</v>
      </c>
      <c r="D12">
        <v>100000</v>
      </c>
      <c r="E12">
        <v>0.0029840000000000001</v>
      </c>
      <c r="F12" s="5">
        <v>2.9839999999999999e-05</v>
      </c>
    </row>
    <row r="13">
      <c r="A13" s="2">
        <v>8</v>
      </c>
      <c r="B13">
        <v>303.14999999999998</v>
      </c>
      <c r="C13" s="5">
        <v>0.5</v>
      </c>
      <c r="D13">
        <v>20000000</v>
      </c>
      <c r="E13">
        <v>0.0042370000000000003</v>
      </c>
      <c r="F13" s="5">
        <v>4.2370000000000003e-05</v>
      </c>
    </row>
    <row r="14">
      <c r="A14" s="2">
        <v>9</v>
      </c>
      <c r="B14">
        <v>303.14999999999998</v>
      </c>
      <c r="C14" s="5">
        <v>0.5</v>
      </c>
      <c r="D14">
        <v>40000000</v>
      </c>
      <c r="E14">
        <v>0.00596</v>
      </c>
      <c r="F14" s="5">
        <v>5.9599999999999999e-05</v>
      </c>
    </row>
    <row r="15">
      <c r="A15" s="2">
        <v>10</v>
      </c>
      <c r="B15">
        <v>303.14999999999998</v>
      </c>
      <c r="C15" s="5">
        <v>0.5</v>
      </c>
      <c r="D15">
        <v>60000000</v>
      </c>
      <c r="E15">
        <v>0.0083079999999999994</v>
      </c>
      <c r="F15" s="5">
        <v>8.3079999999999997e-05</v>
      </c>
    </row>
    <row r="16">
      <c r="A16" s="2">
        <v>11</v>
      </c>
      <c r="B16">
        <v>303.14999999999998</v>
      </c>
      <c r="C16" s="5">
        <v>0.5</v>
      </c>
      <c r="D16">
        <v>80000000</v>
      </c>
      <c r="E16">
        <v>0.011480000000000001</v>
      </c>
      <c r="F16" s="5">
        <v>0.0001148</v>
      </c>
    </row>
    <row r="17">
      <c r="A17" s="2">
        <v>12</v>
      </c>
      <c r="B17">
        <v>303.14999999999998</v>
      </c>
      <c r="C17" s="5">
        <v>0.5</v>
      </c>
      <c r="D17">
        <v>100000000</v>
      </c>
      <c r="E17">
        <v>0.015730000000000001</v>
      </c>
      <c r="F17" s="5">
        <v>0.0001573</v>
      </c>
    </row>
    <row r="18">
      <c r="A18" s="2">
        <v>13</v>
      </c>
      <c r="B18">
        <v>313.14999999999998</v>
      </c>
      <c r="C18" s="5">
        <v>0.5</v>
      </c>
      <c r="D18">
        <v>100000</v>
      </c>
      <c r="E18">
        <v>0.0024109999999999999</v>
      </c>
      <c r="F18" s="5">
        <v>2.4110000000000001e-05</v>
      </c>
    </row>
    <row r="19">
      <c r="A19" s="2">
        <v>14</v>
      </c>
      <c r="B19">
        <v>313.14999999999998</v>
      </c>
      <c r="C19" s="5">
        <v>0.5</v>
      </c>
      <c r="D19">
        <v>20000000</v>
      </c>
      <c r="E19">
        <v>0.003411</v>
      </c>
      <c r="F19" s="5">
        <v>3.4109999999999997e-05</v>
      </c>
    </row>
    <row r="20">
      <c r="A20" s="2">
        <v>15</v>
      </c>
      <c r="B20">
        <v>313.14999999999998</v>
      </c>
      <c r="C20" s="5">
        <v>0.5</v>
      </c>
      <c r="D20">
        <v>40000000</v>
      </c>
      <c r="E20">
        <v>0.0047000000000000002</v>
      </c>
      <c r="F20" s="5">
        <v>4.6999999999999997e-05</v>
      </c>
    </row>
    <row r="21">
      <c r="A21" s="2">
        <v>16</v>
      </c>
      <c r="B21">
        <v>313.14999999999998</v>
      </c>
      <c r="C21" s="5">
        <v>0.5</v>
      </c>
      <c r="D21">
        <v>60000000</v>
      </c>
      <c r="E21">
        <v>0.0064260000000000003</v>
      </c>
      <c r="F21" s="5">
        <v>6.4259999999999998e-05</v>
      </c>
    </row>
    <row r="22">
      <c r="A22" s="2">
        <v>17</v>
      </c>
      <c r="B22">
        <v>313.14999999999998</v>
      </c>
      <c r="C22" s="5">
        <v>0.5</v>
      </c>
      <c r="D22">
        <v>80000000</v>
      </c>
      <c r="E22">
        <v>0.0087100000000000007</v>
      </c>
      <c r="F22" s="5">
        <v>8.7100000000000003e-05</v>
      </c>
    </row>
    <row r="23">
      <c r="A23" s="2">
        <v>18</v>
      </c>
      <c r="B23">
        <v>313.14999999999998</v>
      </c>
      <c r="C23" s="5">
        <v>0.5</v>
      </c>
      <c r="D23">
        <v>100000000</v>
      </c>
      <c r="E23">
        <v>0.01171</v>
      </c>
      <c r="F23" s="5">
        <v>0.0001171</v>
      </c>
    </row>
    <row r="24">
      <c r="A24" s="2">
        <v>19</v>
      </c>
      <c r="B24">
        <v>323.14999999999998</v>
      </c>
      <c r="C24" s="5">
        <v>0.5</v>
      </c>
      <c r="D24">
        <v>100000</v>
      </c>
      <c r="E24">
        <v>0.0020179999999999998</v>
      </c>
      <c r="F24" s="5">
        <v>2.018e-05</v>
      </c>
    </row>
    <row r="25">
      <c r="A25" s="2">
        <v>20</v>
      </c>
      <c r="B25">
        <v>323.14999999999998</v>
      </c>
      <c r="C25" s="5">
        <v>0.5</v>
      </c>
      <c r="D25">
        <v>20000000</v>
      </c>
      <c r="E25">
        <v>0.0028410000000000002</v>
      </c>
      <c r="F25" s="5">
        <v>2.8410000000000001e-05</v>
      </c>
    </row>
    <row r="26">
      <c r="A26" s="2">
        <v>21</v>
      </c>
      <c r="B26">
        <v>323.14999999999998</v>
      </c>
      <c r="C26" s="5">
        <v>0.5</v>
      </c>
      <c r="D26">
        <v>40000000</v>
      </c>
      <c r="E26">
        <v>0.0039039999999999999</v>
      </c>
      <c r="F26" s="5">
        <v>3.9039999999999999e-05</v>
      </c>
    </row>
    <row r="27">
      <c r="A27" s="2">
        <v>22</v>
      </c>
      <c r="B27">
        <v>323.14999999999998</v>
      </c>
      <c r="C27" s="5">
        <v>0.5</v>
      </c>
      <c r="D27">
        <v>60000000</v>
      </c>
      <c r="E27">
        <v>0.0052709999999999996</v>
      </c>
      <c r="F27" s="5">
        <v>5.2710000000000002e-05</v>
      </c>
    </row>
    <row r="28">
      <c r="A28" s="2">
        <v>23</v>
      </c>
      <c r="B28">
        <v>323.14999999999998</v>
      </c>
      <c r="C28" s="5">
        <v>0.5</v>
      </c>
      <c r="D28">
        <v>80000000</v>
      </c>
      <c r="E28">
        <v>0.0070070000000000002</v>
      </c>
      <c r="F28" s="5">
        <v>7.0069999999999998e-05</v>
      </c>
    </row>
    <row r="29">
      <c r="A29" s="2">
        <v>24</v>
      </c>
      <c r="B29">
        <v>323.14999999999998</v>
      </c>
      <c r="C29" s="5">
        <v>0.5</v>
      </c>
      <c r="D29">
        <v>100000000</v>
      </c>
      <c r="E29">
        <v>0.0091940000000000008</v>
      </c>
      <c r="F29" s="5">
        <v>9.1940000000000004e-05</v>
      </c>
    </row>
    <row r="30">
      <c r="A30" s="2">
        <v>25</v>
      </c>
      <c r="B30">
        <v>333.14999999999998</v>
      </c>
      <c r="C30" s="5">
        <v>0.5</v>
      </c>
      <c r="D30">
        <v>100000</v>
      </c>
      <c r="E30">
        <v>0.0016819999999999999</v>
      </c>
      <c r="F30" s="5">
        <v>1.6820000000000002e-05</v>
      </c>
    </row>
    <row r="31">
      <c r="A31" s="2">
        <v>26</v>
      </c>
      <c r="B31">
        <v>333.14999999999998</v>
      </c>
      <c r="C31" s="5">
        <v>0.5</v>
      </c>
      <c r="D31">
        <v>20000000</v>
      </c>
      <c r="E31">
        <v>0.0023149999999999998</v>
      </c>
      <c r="F31" s="5">
        <v>2.315e-05</v>
      </c>
    </row>
    <row r="32">
      <c r="A32" s="2">
        <v>27</v>
      </c>
      <c r="B32">
        <v>333.14999999999998</v>
      </c>
      <c r="C32" s="5">
        <v>0.5</v>
      </c>
      <c r="D32">
        <v>40000000</v>
      </c>
      <c r="E32">
        <v>0.0031389999999999999</v>
      </c>
      <c r="F32" s="5">
        <v>3.1390000000000003e-05</v>
      </c>
    </row>
    <row r="33">
      <c r="A33" s="2">
        <v>28</v>
      </c>
      <c r="B33">
        <v>333.14999999999998</v>
      </c>
      <c r="C33" s="5">
        <v>0.5</v>
      </c>
      <c r="D33">
        <v>60000000</v>
      </c>
      <c r="E33">
        <v>0.0041970000000000002</v>
      </c>
      <c r="F33" s="5">
        <v>4.197e-05</v>
      </c>
    </row>
    <row r="34">
      <c r="A34" s="2">
        <v>29</v>
      </c>
      <c r="B34">
        <v>333.14999999999998</v>
      </c>
      <c r="C34" s="5">
        <v>0.5</v>
      </c>
      <c r="D34">
        <v>80000000</v>
      </c>
      <c r="E34">
        <v>0.0055370000000000003</v>
      </c>
      <c r="F34" s="5">
        <v>5.537e-05</v>
      </c>
    </row>
    <row r="35">
      <c r="A35" s="2">
        <v>30</v>
      </c>
      <c r="B35">
        <v>333.14999999999998</v>
      </c>
      <c r="C35" s="5">
        <v>0.5</v>
      </c>
      <c r="D35">
        <v>100000000</v>
      </c>
      <c r="E35">
        <v>0.0072220000000000001</v>
      </c>
      <c r="F35" s="5">
        <v>7.2219999999999996e-05</v>
      </c>
    </row>
    <row r="36">
      <c r="A36" s="2">
        <v>31</v>
      </c>
      <c r="B36">
        <v>343.14999999999998</v>
      </c>
      <c r="C36" s="5">
        <v>0.5</v>
      </c>
      <c r="D36">
        <v>100000</v>
      </c>
      <c r="E36">
        <v>0.001446</v>
      </c>
      <c r="F36" s="5">
        <v>1.446e-05</v>
      </c>
    </row>
    <row r="37">
      <c r="A37" s="2">
        <v>32</v>
      </c>
      <c r="B37">
        <v>343.14999999999998</v>
      </c>
      <c r="C37" s="5">
        <v>0.5</v>
      </c>
      <c r="D37">
        <v>20000000</v>
      </c>
      <c r="E37">
        <v>0.0019750000000000002</v>
      </c>
      <c r="F37" s="5">
        <v>1.9749999999999999e-05</v>
      </c>
    </row>
    <row r="38">
      <c r="A38" s="2">
        <v>33</v>
      </c>
      <c r="B38">
        <v>343.14999999999998</v>
      </c>
      <c r="C38" s="5">
        <v>0.5</v>
      </c>
      <c r="D38">
        <v>40000000</v>
      </c>
      <c r="E38">
        <v>0.002627</v>
      </c>
      <c r="F38" s="5">
        <v>2.6270000000000001e-05</v>
      </c>
    </row>
    <row r="39">
      <c r="A39" s="2">
        <v>34</v>
      </c>
      <c r="B39">
        <v>343.14999999999998</v>
      </c>
      <c r="C39" s="5">
        <v>0.5</v>
      </c>
      <c r="D39">
        <v>60000000</v>
      </c>
      <c r="E39">
        <v>0.0034480000000000001</v>
      </c>
      <c r="F39" s="5">
        <v>3.4480000000000002e-05</v>
      </c>
    </row>
    <row r="40">
      <c r="A40" s="2">
        <v>35</v>
      </c>
      <c r="B40">
        <v>343.14999999999998</v>
      </c>
      <c r="C40" s="5">
        <v>0.5</v>
      </c>
      <c r="D40">
        <v>80000000</v>
      </c>
      <c r="E40">
        <v>0.0044749999999999998</v>
      </c>
      <c r="F40" s="5">
        <v>4.4749999999999997e-05</v>
      </c>
    </row>
    <row r="41">
      <c r="A41" s="2">
        <v>36</v>
      </c>
      <c r="B41">
        <v>343.14999999999998</v>
      </c>
      <c r="C41" s="5">
        <v>0.5</v>
      </c>
      <c r="D41">
        <v>100000000</v>
      </c>
      <c r="E41">
        <v>0.0057499999999999999</v>
      </c>
      <c r="F41" s="5">
        <v>5.7500000000000002e-05</v>
      </c>
    </row>
    <row r="42">
      <c r="A42" s="2">
        <v>37</v>
      </c>
      <c r="B42">
        <v>353.14999999999998</v>
      </c>
      <c r="C42" s="5">
        <v>0.5</v>
      </c>
      <c r="D42">
        <v>100000</v>
      </c>
      <c r="E42">
        <v>0.001245</v>
      </c>
      <c r="F42" s="5">
        <v>1.2449999999999999e-05</v>
      </c>
    </row>
    <row r="43">
      <c r="A43" s="2">
        <v>38</v>
      </c>
      <c r="B43">
        <v>353.14999999999998</v>
      </c>
      <c r="C43" s="5">
        <v>0.5</v>
      </c>
      <c r="D43">
        <v>20000000</v>
      </c>
      <c r="E43">
        <v>0.0017030000000000001</v>
      </c>
      <c r="F43" s="5">
        <v>1.7030000000000001e-05</v>
      </c>
    </row>
    <row r="44">
      <c r="A44" s="2">
        <v>39</v>
      </c>
      <c r="B44">
        <v>353.14999999999998</v>
      </c>
      <c r="C44" s="5">
        <v>0.5</v>
      </c>
      <c r="D44">
        <v>40000000</v>
      </c>
      <c r="E44">
        <v>0.002274</v>
      </c>
      <c r="F44" s="5">
        <v>2.2739999999999999e-05</v>
      </c>
    </row>
    <row r="45">
      <c r="A45" s="2">
        <v>40</v>
      </c>
      <c r="B45">
        <v>353.14999999999998</v>
      </c>
      <c r="C45" s="5">
        <v>0.5</v>
      </c>
      <c r="D45">
        <v>60000000</v>
      </c>
      <c r="E45">
        <v>0.0029849999999999998</v>
      </c>
      <c r="F45" s="5">
        <v>2.9850000000000001e-05</v>
      </c>
    </row>
    <row r="46">
      <c r="A46" s="2">
        <v>41</v>
      </c>
      <c r="B46">
        <v>353.14999999999998</v>
      </c>
      <c r="C46" s="5">
        <v>0.5</v>
      </c>
      <c r="D46">
        <v>80000000</v>
      </c>
      <c r="E46">
        <v>0.0038600000000000001</v>
      </c>
      <c r="F46" s="5">
        <v>3.8600000000000003e-05</v>
      </c>
    </row>
    <row r="47">
      <c r="A47" s="2">
        <v>42</v>
      </c>
      <c r="B47">
        <v>353.14999999999998</v>
      </c>
      <c r="C47" s="5">
        <v>0.5</v>
      </c>
      <c r="D47">
        <v>100000000</v>
      </c>
      <c r="E47">
        <v>0.0049230000000000003</v>
      </c>
      <c r="F47" s="5">
        <v>4.9230000000000001e-05</v>
      </c>
    </row>
    <row r="48">
      <c r="A48" s="3" t="s">
        <v>37</v>
      </c>
      <c r="B48" s="3"/>
      <c r="C48" s="3"/>
      <c r="D48" s="3"/>
      <c r="E48" s="3"/>
      <c r="F48" s="3"/>
    </row>
    <row r="49">
      <c r="A49" s="2">
        <v>1</v>
      </c>
      <c r="B49" t="s">
        <v>29</v>
      </c>
      <c r="C49" t="s">
        <v>38</v>
      </c>
    </row>
    <row r="50">
      <c r="A50" s="2">
        <v>2</v>
      </c>
      <c r="B50" t="s">
        <v>32</v>
      </c>
      <c r="C50" t="s">
        <v>39</v>
      </c>
    </row>
    <row r="51">
      <c r="A51" s="2">
        <v>3</v>
      </c>
      <c r="B51" t="s">
        <v>34</v>
      </c>
      <c r="C51" t="s">
        <v>40</v>
      </c>
    </row>
    <row r="52">
      <c r="A52" s="3" t="s">
        <v>41</v>
      </c>
      <c r="B52" s="0"/>
      <c r="C52" s="0"/>
      <c r="D52" s="0"/>
      <c r="E52" s="0"/>
      <c r="F52" s="0"/>
    </row>
    <row r="53">
      <c r="A53" s="2">
        <v>1</v>
      </c>
      <c r="B53">
        <f>HYPERLINK("#Components!A1","4390-04-9")</f>
      </c>
      <c r="C53" t="s">
        <v>42</v>
      </c>
    </row>
    <row r="54">
      <c r="A54" s="3" t="s">
        <v>43</v>
      </c>
      <c r="B54" s="0"/>
      <c r="C54" s="0"/>
      <c r="D54" s="0"/>
      <c r="E54" s="0"/>
      <c r="F54" s="0"/>
    </row>
    <row r="55">
      <c r="A55" s="2" t="s">
        <v>44</v>
      </c>
      <c r="B55" t="s">
        <v>45</v>
      </c>
    </row>
    <row r="56">
      <c r="A56" s="2" t="s">
        <v>46</v>
      </c>
      <c r="B56">
        <f>HYPERLINK("#References!A1","DELI-038540")</f>
      </c>
    </row>
    <row r="58">
      <c r="A58" s="1" t="s">
        <v>36</v>
      </c>
      <c r="B58" s="1"/>
      <c r="C58" s="1"/>
      <c r="D58" s="1"/>
    </row>
    <row r="59">
      <c r="A59" s="2" t="s">
        <v>28</v>
      </c>
      <c r="B59" s="2" t="s">
        <v>29</v>
      </c>
      <c r="C59" s="2" t="s">
        <v>32</v>
      </c>
      <c r="D59" s="2" t="s">
        <v>34</v>
      </c>
    </row>
    <row r="60">
      <c r="A60" s="2"/>
      <c r="B60" s="2"/>
      <c r="C60" s="2"/>
      <c r="D60" s="2"/>
    </row>
    <row r="61">
      <c r="A61" s="2"/>
      <c r="B61" s="2" t="s">
        <v>30</v>
      </c>
      <c r="C61" s="2" t="s">
        <v>33</v>
      </c>
      <c r="D61" s="2" t="s">
        <v>35</v>
      </c>
    </row>
    <row r="62">
      <c r="A62" s="2"/>
      <c r="B62" s="2">
        <v>1</v>
      </c>
      <c r="C62" s="2">
        <v>2</v>
      </c>
      <c r="D62" s="2">
        <v>3</v>
      </c>
    </row>
    <row r="63">
      <c r="A63" s="2">
        <v>1</v>
      </c>
      <c r="B63">
        <v>298.14999999999998</v>
      </c>
      <c r="C63">
        <v>100000</v>
      </c>
      <c r="D63">
        <v>0.0032989999999999998</v>
      </c>
    </row>
    <row r="64">
      <c r="A64" s="2">
        <v>2</v>
      </c>
      <c r="B64">
        <v>298.14999999999998</v>
      </c>
      <c r="C64">
        <v>20000000</v>
      </c>
      <c r="D64">
        <v>0.0046740000000000002</v>
      </c>
    </row>
    <row r="65">
      <c r="A65" s="2">
        <v>3</v>
      </c>
      <c r="B65">
        <v>298.14999999999998</v>
      </c>
      <c r="C65">
        <v>40000000</v>
      </c>
      <c r="D65">
        <v>0.0065950000000000002</v>
      </c>
    </row>
    <row r="66">
      <c r="A66" s="2">
        <v>4</v>
      </c>
      <c r="B66">
        <v>298.14999999999998</v>
      </c>
      <c r="C66">
        <v>60000000</v>
      </c>
      <c r="D66">
        <v>0.0095340000000000008</v>
      </c>
    </row>
    <row r="67">
      <c r="A67" s="2">
        <v>5</v>
      </c>
      <c r="B67">
        <v>298.14999999999998</v>
      </c>
      <c r="C67">
        <v>80000000</v>
      </c>
      <c r="D67">
        <v>0.012970000000000001</v>
      </c>
    </row>
    <row r="68">
      <c r="A68" s="2">
        <v>6</v>
      </c>
      <c r="B68">
        <v>298.14999999999998</v>
      </c>
      <c r="C68">
        <v>100000000</v>
      </c>
      <c r="D68">
        <v>0.018110000000000001</v>
      </c>
    </row>
    <row r="69">
      <c r="A69" s="2">
        <v>7</v>
      </c>
      <c r="B69">
        <v>313.14999999999998</v>
      </c>
      <c r="C69">
        <v>100000</v>
      </c>
      <c r="D69">
        <v>0.0023830000000000001</v>
      </c>
    </row>
    <row r="70">
      <c r="A70" s="2">
        <v>8</v>
      </c>
      <c r="B70">
        <v>313.14999999999998</v>
      </c>
      <c r="C70">
        <v>20000000</v>
      </c>
      <c r="D70">
        <v>0.003356</v>
      </c>
    </row>
    <row r="71">
      <c r="A71" s="2">
        <v>9</v>
      </c>
      <c r="B71">
        <v>313.14999999999998</v>
      </c>
      <c r="C71">
        <v>40000000</v>
      </c>
      <c r="D71">
        <v>0.0046649999999999999</v>
      </c>
    </row>
    <row r="72">
      <c r="A72" s="2">
        <v>10</v>
      </c>
      <c r="B72">
        <v>313.14999999999998</v>
      </c>
      <c r="C72">
        <v>60000000</v>
      </c>
      <c r="D72">
        <v>0.0063759999999999997</v>
      </c>
    </row>
    <row r="73">
      <c r="A73" s="2">
        <v>11</v>
      </c>
      <c r="B73">
        <v>313.14999999999998</v>
      </c>
      <c r="C73">
        <v>80000000</v>
      </c>
      <c r="D73">
        <v>0.0086540000000000002</v>
      </c>
    </row>
    <row r="74">
      <c r="A74" s="2">
        <v>12</v>
      </c>
      <c r="B74">
        <v>313.14999999999998</v>
      </c>
      <c r="C74">
        <v>100000000</v>
      </c>
      <c r="D74">
        <v>0.01208</v>
      </c>
    </row>
    <row r="75">
      <c r="A75" s="2">
        <v>13</v>
      </c>
      <c r="B75">
        <v>333.14999999999998</v>
      </c>
      <c r="C75">
        <v>100000</v>
      </c>
      <c r="D75">
        <v>0.001658</v>
      </c>
    </row>
    <row r="76">
      <c r="A76" s="2">
        <v>14</v>
      </c>
      <c r="B76">
        <v>333.14999999999998</v>
      </c>
      <c r="C76">
        <v>20000000</v>
      </c>
      <c r="D76">
        <v>0.002297</v>
      </c>
    </row>
    <row r="77">
      <c r="A77" s="2">
        <v>15</v>
      </c>
      <c r="B77">
        <v>333.14999999999998</v>
      </c>
      <c r="C77">
        <v>40000000</v>
      </c>
      <c r="D77">
        <v>0.0031020000000000002</v>
      </c>
    </row>
    <row r="78">
      <c r="A78" s="2">
        <v>16</v>
      </c>
      <c r="B78">
        <v>333.14999999999998</v>
      </c>
      <c r="C78">
        <v>60000000</v>
      </c>
      <c r="D78">
        <v>0.004287</v>
      </c>
    </row>
    <row r="79">
      <c r="A79" s="2">
        <v>17</v>
      </c>
      <c r="B79">
        <v>333.14999999999998</v>
      </c>
      <c r="C79">
        <v>80000000</v>
      </c>
      <c r="D79">
        <v>0.0055170000000000002</v>
      </c>
    </row>
    <row r="80">
      <c r="A80" s="2">
        <v>18</v>
      </c>
      <c r="B80">
        <v>333.14999999999998</v>
      </c>
      <c r="C80">
        <v>100000000</v>
      </c>
      <c r="D80">
        <v>0.0072179999999999996</v>
      </c>
    </row>
    <row r="81">
      <c r="A81" s="2">
        <v>19</v>
      </c>
      <c r="B81">
        <v>353.14999999999998</v>
      </c>
      <c r="C81">
        <v>100000</v>
      </c>
      <c r="D81">
        <v>0.001243</v>
      </c>
    </row>
    <row r="82">
      <c r="A82" s="2">
        <v>20</v>
      </c>
      <c r="B82">
        <v>353.14999999999998</v>
      </c>
      <c r="C82">
        <v>20000000</v>
      </c>
      <c r="D82">
        <v>0.0016999999999999999</v>
      </c>
    </row>
    <row r="83">
      <c r="A83" s="2">
        <v>21</v>
      </c>
      <c r="B83">
        <v>353.14999999999998</v>
      </c>
      <c r="C83">
        <v>40000000</v>
      </c>
      <c r="D83">
        <v>0.0022490000000000001</v>
      </c>
    </row>
    <row r="84">
      <c r="A84" s="2">
        <v>22</v>
      </c>
      <c r="B84">
        <v>353.14999999999998</v>
      </c>
      <c r="C84">
        <v>60000000</v>
      </c>
      <c r="D84">
        <v>0.0029380000000000001</v>
      </c>
    </row>
    <row r="85">
      <c r="A85" s="2">
        <v>23</v>
      </c>
      <c r="B85">
        <v>353.14999999999998</v>
      </c>
      <c r="C85">
        <v>80000000</v>
      </c>
      <c r="D85">
        <v>0.0037850000000000002</v>
      </c>
    </row>
    <row r="86">
      <c r="A86" s="2">
        <v>24</v>
      </c>
      <c r="B86">
        <v>353.14999999999998</v>
      </c>
      <c r="C86">
        <v>100000000</v>
      </c>
      <c r="D86">
        <v>0.0047809999999999997</v>
      </c>
    </row>
    <row r="87">
      <c r="A87" s="2">
        <v>25</v>
      </c>
      <c r="B87">
        <v>363.14999999999998</v>
      </c>
      <c r="C87">
        <v>100000</v>
      </c>
      <c r="D87">
        <v>0.0010920000000000001</v>
      </c>
    </row>
    <row r="88">
      <c r="A88" s="2">
        <v>26</v>
      </c>
      <c r="B88">
        <v>363.14999999999998</v>
      </c>
      <c r="C88">
        <v>20000000</v>
      </c>
      <c r="D88">
        <v>0.001428</v>
      </c>
    </row>
    <row r="89">
      <c r="A89" s="2">
        <v>27</v>
      </c>
      <c r="B89">
        <v>363.14999999999998</v>
      </c>
      <c r="C89">
        <v>40000000</v>
      </c>
      <c r="D89">
        <v>0.0018940000000000001</v>
      </c>
    </row>
    <row r="90">
      <c r="A90" s="2">
        <v>28</v>
      </c>
      <c r="B90">
        <v>363.14999999999998</v>
      </c>
      <c r="C90">
        <v>60000000</v>
      </c>
      <c r="D90">
        <v>0.0025279999999999999</v>
      </c>
    </row>
    <row r="91">
      <c r="A91" s="2">
        <v>29</v>
      </c>
      <c r="B91">
        <v>363.14999999999998</v>
      </c>
      <c r="C91">
        <v>80000000</v>
      </c>
      <c r="D91">
        <v>0.0032299999999999998</v>
      </c>
    </row>
    <row r="92">
      <c r="A92" s="2">
        <v>30</v>
      </c>
      <c r="B92">
        <v>363.14999999999998</v>
      </c>
      <c r="C92">
        <v>100000000</v>
      </c>
      <c r="D92">
        <v>0.004274</v>
      </c>
    </row>
    <row r="93">
      <c r="A93" s="3" t="s">
        <v>37</v>
      </c>
      <c r="B93" s="3"/>
      <c r="C93" s="3"/>
      <c r="D93" s="3"/>
    </row>
    <row r="94">
      <c r="A94" s="2">
        <v>1</v>
      </c>
      <c r="B94" t="s">
        <v>29</v>
      </c>
      <c r="C94" t="s">
        <v>38</v>
      </c>
    </row>
    <row r="95">
      <c r="A95" s="2">
        <v>2</v>
      </c>
      <c r="B95" t="s">
        <v>32</v>
      </c>
      <c r="C95" t="s">
        <v>39</v>
      </c>
    </row>
    <row r="96">
      <c r="A96" s="2">
        <v>3</v>
      </c>
      <c r="B96" t="s">
        <v>34</v>
      </c>
      <c r="C96" t="s">
        <v>40</v>
      </c>
    </row>
    <row r="97">
      <c r="A97" s="3" t="s">
        <v>41</v>
      </c>
      <c r="B97" s="0"/>
      <c r="C97" s="0"/>
      <c r="D97" s="0"/>
    </row>
    <row r="98">
      <c r="A98" s="2">
        <v>1</v>
      </c>
      <c r="B98">
        <f>HYPERLINK("#Components!A1","4390-04-9")</f>
      </c>
      <c r="C98" t="s">
        <v>54</v>
      </c>
    </row>
    <row r="99">
      <c r="A99" s="3" t="s">
        <v>43</v>
      </c>
      <c r="B99" s="0"/>
      <c r="C99" s="0"/>
      <c r="D99" s="0"/>
    </row>
    <row r="100">
      <c r="A100" s="2" t="s">
        <v>44</v>
      </c>
      <c r="B100" t="s">
        <v>55</v>
      </c>
    </row>
    <row r="101">
      <c r="A101" s="2" t="s">
        <v>46</v>
      </c>
      <c r="B101">
        <f>HYPERLINK("#References!A14","DELI-032534")</f>
      </c>
    </row>
    <row r="103">
      <c r="A103" s="1" t="s">
        <v>36</v>
      </c>
      <c r="B103" s="1"/>
      <c r="C103" s="1"/>
      <c r="D103" s="1"/>
    </row>
    <row r="104">
      <c r="A104" s="2" t="s">
        <v>28</v>
      </c>
      <c r="B104" s="2" t="s">
        <v>29</v>
      </c>
      <c r="C104" s="2" t="s">
        <v>32</v>
      </c>
      <c r="D104" s="2" t="s">
        <v>34</v>
      </c>
    </row>
    <row r="105">
      <c r="A105" s="2"/>
      <c r="B105" s="2"/>
      <c r="C105" s="2"/>
      <c r="D105" s="2"/>
    </row>
    <row r="106">
      <c r="A106" s="2"/>
      <c r="B106" s="2" t="s">
        <v>30</v>
      </c>
      <c r="C106" s="2" t="s">
        <v>33</v>
      </c>
      <c r="D106" s="2" t="s">
        <v>35</v>
      </c>
    </row>
    <row r="107">
      <c r="A107" s="2"/>
      <c r="B107" s="2">
        <v>1</v>
      </c>
      <c r="C107" s="2">
        <v>2</v>
      </c>
      <c r="D107" s="2">
        <v>3</v>
      </c>
    </row>
    <row r="108">
      <c r="A108" s="2">
        <v>1</v>
      </c>
      <c r="B108">
        <v>298.14999999999998</v>
      </c>
      <c r="C108">
        <v>100000</v>
      </c>
      <c r="D108">
        <v>0.0033540000000000002</v>
      </c>
    </row>
    <row r="109">
      <c r="A109" s="2">
        <v>2</v>
      </c>
      <c r="B109">
        <v>298.14999999999998</v>
      </c>
      <c r="C109">
        <v>50000000</v>
      </c>
      <c r="D109">
        <v>0.0084250000000000002</v>
      </c>
    </row>
    <row r="110">
      <c r="A110" s="2">
        <v>3</v>
      </c>
      <c r="B110">
        <v>298.14999999999998</v>
      </c>
      <c r="C110">
        <v>80000000</v>
      </c>
      <c r="D110">
        <v>0.014394000000000001</v>
      </c>
    </row>
    <row r="111">
      <c r="A111" s="2">
        <v>4</v>
      </c>
      <c r="B111">
        <v>298.14999999999998</v>
      </c>
      <c r="C111">
        <v>120000000</v>
      </c>
      <c r="D111">
        <v>0.028282000000000002</v>
      </c>
    </row>
    <row r="112">
      <c r="A112" s="2">
        <v>5</v>
      </c>
      <c r="B112">
        <v>298.14999999999998</v>
      </c>
      <c r="C112">
        <v>160000000</v>
      </c>
      <c r="D112">
        <v>0.055791</v>
      </c>
    </row>
    <row r="113">
      <c r="A113" s="2">
        <v>6</v>
      </c>
      <c r="B113">
        <v>298.14999999999998</v>
      </c>
      <c r="C113">
        <v>195000000</v>
      </c>
      <c r="D113">
        <v>0.098501000000000005</v>
      </c>
    </row>
    <row r="114">
      <c r="A114" s="2">
        <v>7</v>
      </c>
      <c r="B114">
        <v>353.14999999999998</v>
      </c>
      <c r="C114">
        <v>100000</v>
      </c>
      <c r="D114">
        <v>0.001253</v>
      </c>
    </row>
    <row r="115">
      <c r="A115" s="2">
        <v>8</v>
      </c>
      <c r="B115">
        <v>353.14999999999998</v>
      </c>
      <c r="C115">
        <v>50000000</v>
      </c>
      <c r="D115">
        <v>0.0027079999999999999</v>
      </c>
    </row>
    <row r="116">
      <c r="A116" s="2">
        <v>9</v>
      </c>
      <c r="B116">
        <v>353.14999999999998</v>
      </c>
      <c r="C116">
        <v>80000000</v>
      </c>
      <c r="D116">
        <v>0.0040330000000000001</v>
      </c>
    </row>
    <row r="117">
      <c r="A117" s="2">
        <v>10</v>
      </c>
      <c r="B117">
        <v>353.14999999999998</v>
      </c>
      <c r="C117">
        <v>120000000</v>
      </c>
      <c r="D117">
        <v>0.0066210000000000001</v>
      </c>
    </row>
    <row r="118">
      <c r="A118" s="2">
        <v>11</v>
      </c>
      <c r="B118">
        <v>353.14999999999998</v>
      </c>
      <c r="C118">
        <v>160000000</v>
      </c>
      <c r="D118">
        <v>0.010808999999999999</v>
      </c>
    </row>
    <row r="119">
      <c r="A119" s="2">
        <v>12</v>
      </c>
      <c r="B119">
        <v>353.14999999999998</v>
      </c>
      <c r="C119">
        <v>195000000</v>
      </c>
      <c r="D119">
        <v>0.016199000000000002</v>
      </c>
    </row>
    <row r="120">
      <c r="A120" s="2">
        <v>13</v>
      </c>
      <c r="B120">
        <v>453.14999999999998</v>
      </c>
      <c r="C120">
        <v>100000</v>
      </c>
      <c r="D120">
        <v>0.00042099999999999999</v>
      </c>
    </row>
    <row r="121">
      <c r="A121" s="2">
        <v>14</v>
      </c>
      <c r="B121">
        <v>453.14999999999998</v>
      </c>
      <c r="C121">
        <v>50000000</v>
      </c>
      <c r="D121">
        <v>0.00088999999999999995</v>
      </c>
    </row>
    <row r="122">
      <c r="A122" s="2">
        <v>15</v>
      </c>
      <c r="B122">
        <v>453.14999999999998</v>
      </c>
      <c r="C122">
        <v>80000000</v>
      </c>
      <c r="D122">
        <v>0.001225</v>
      </c>
    </row>
    <row r="123">
      <c r="A123" s="2">
        <v>16</v>
      </c>
      <c r="B123">
        <v>453.14999999999998</v>
      </c>
      <c r="C123">
        <v>120000000</v>
      </c>
      <c r="D123">
        <v>0.0017949999999999999</v>
      </c>
    </row>
    <row r="124">
      <c r="A124" s="2">
        <v>17</v>
      </c>
      <c r="B124">
        <v>453.14999999999998</v>
      </c>
      <c r="C124">
        <v>160000000</v>
      </c>
      <c r="D124">
        <v>0.0025119999999999999</v>
      </c>
    </row>
    <row r="125">
      <c r="A125" s="2">
        <v>18</v>
      </c>
      <c r="B125">
        <v>453.14999999999998</v>
      </c>
      <c r="C125">
        <v>195000000</v>
      </c>
      <c r="D125">
        <v>0.0033630000000000001</v>
      </c>
    </row>
    <row r="126">
      <c r="A126" s="3" t="s">
        <v>37</v>
      </c>
      <c r="B126" s="3"/>
      <c r="C126" s="3"/>
      <c r="D126" s="3"/>
    </row>
    <row r="127">
      <c r="A127" s="2">
        <v>1</v>
      </c>
      <c r="B127" t="s">
        <v>29</v>
      </c>
      <c r="C127" t="s">
        <v>38</v>
      </c>
    </row>
    <row r="128">
      <c r="A128" s="2">
        <v>2</v>
      </c>
      <c r="B128" t="s">
        <v>32</v>
      </c>
      <c r="C128" t="s">
        <v>39</v>
      </c>
    </row>
    <row r="129">
      <c r="A129" s="2">
        <v>3</v>
      </c>
      <c r="B129" t="s">
        <v>34</v>
      </c>
      <c r="C129" t="s">
        <v>65</v>
      </c>
    </row>
    <row r="130">
      <c r="A130" s="3" t="s">
        <v>41</v>
      </c>
      <c r="B130" s="0"/>
      <c r="C130" s="0"/>
      <c r="D130" s="0"/>
    </row>
    <row r="131">
      <c r="A131" s="2">
        <v>1</v>
      </c>
      <c r="B131">
        <f>HYPERLINK("#Components!A1","4390-04-9")</f>
      </c>
      <c r="C131" t="s">
        <v>66</v>
      </c>
    </row>
    <row r="132">
      <c r="A132" s="3" t="s">
        <v>43</v>
      </c>
      <c r="B132" s="0"/>
      <c r="C132" s="0"/>
      <c r="D132" s="0"/>
    </row>
    <row r="133">
      <c r="A133" s="2" t="s">
        <v>44</v>
      </c>
      <c r="B133" t="s">
        <v>67</v>
      </c>
    </row>
    <row r="134">
      <c r="A134" s="2" t="s">
        <v>46</v>
      </c>
      <c r="B134">
        <f>HYPERLINK("#References!A27","DELI-037474")</f>
      </c>
    </row>
    <row r="136">
      <c r="A136" s="1" t="s">
        <v>36</v>
      </c>
      <c r="B136" s="1"/>
      <c r="C136" s="1"/>
      <c r="D136" s="1"/>
    </row>
    <row r="137">
      <c r="A137" s="2" t="s">
        <v>28</v>
      </c>
      <c r="B137" s="2" t="s">
        <v>29</v>
      </c>
      <c r="C137" s="2" t="s">
        <v>34</v>
      </c>
      <c r="D137" s="2" t="s">
        <v>78</v>
      </c>
    </row>
    <row r="138">
      <c r="A138" s="2"/>
      <c r="B138" s="2"/>
      <c r="C138" s="2"/>
      <c r="D138" s="2"/>
    </row>
    <row r="139">
      <c r="A139" s="2"/>
      <c r="B139" s="2" t="s">
        <v>30</v>
      </c>
      <c r="C139" s="2" t="s">
        <v>35</v>
      </c>
      <c r="D139" s="2" t="s">
        <v>79</v>
      </c>
    </row>
    <row r="140">
      <c r="A140" s="2"/>
      <c r="B140" s="2">
        <v>1</v>
      </c>
      <c r="C140" s="2">
        <v>2</v>
      </c>
      <c r="D140" s="2">
        <v>3</v>
      </c>
    </row>
    <row r="141">
      <c r="A141" s="2">
        <v>1</v>
      </c>
      <c r="B141">
        <v>298.14999999999998</v>
      </c>
      <c r="C141">
        <v>0.00316</v>
      </c>
      <c r="D141">
        <v>0.023769999999999999</v>
      </c>
    </row>
    <row r="142">
      <c r="A142" s="2">
        <v>2</v>
      </c>
      <c r="B142">
        <v>323.14999999999998</v>
      </c>
      <c r="C142">
        <v>0.0018890000000000001</v>
      </c>
      <c r="D142">
        <v>0.021149999999999999</v>
      </c>
    </row>
    <row r="143">
      <c r="A143" s="2">
        <v>3</v>
      </c>
      <c r="B143">
        <v>348.14999999999998</v>
      </c>
      <c r="C143">
        <v>0.001256</v>
      </c>
      <c r="D143">
        <v>0.019230000000000001</v>
      </c>
    </row>
    <row r="144">
      <c r="A144" s="2">
        <v>4</v>
      </c>
      <c r="B144">
        <v>373.14999999999998</v>
      </c>
      <c r="C144">
        <v>0.0009209</v>
      </c>
      <c r="D144">
        <v>0.0177</v>
      </c>
    </row>
    <row r="145">
      <c r="A145" s="2">
        <v>5</v>
      </c>
      <c r="B145">
        <v>398.14999999999998</v>
      </c>
      <c r="C145">
        <v>0.00069399999999999996</v>
      </c>
      <c r="D145">
        <v>0.016070000000000001</v>
      </c>
    </row>
    <row r="146">
      <c r="A146" s="2">
        <v>6</v>
      </c>
      <c r="B146">
        <v>423.14999999999998</v>
      </c>
      <c r="C146">
        <v>0.00054000000000000001</v>
      </c>
      <c r="D146">
        <v>0.014460000000000001</v>
      </c>
    </row>
    <row r="147">
      <c r="A147" s="2">
        <v>7</v>
      </c>
      <c r="B147">
        <v>473.14999999999998</v>
      </c>
      <c r="C147">
        <v>0.0003456</v>
      </c>
      <c r="D147">
        <v>0.011089999999999999</v>
      </c>
    </row>
    <row r="148">
      <c r="A148" s="2">
        <v>8</v>
      </c>
      <c r="B148">
        <v>523.14999999999998</v>
      </c>
      <c r="C148">
        <v>0.000243</v>
      </c>
      <c r="D148">
        <v>0.0084100000000000008</v>
      </c>
    </row>
    <row r="149">
      <c r="A149" s="2">
        <v>9</v>
      </c>
      <c r="B149">
        <v>573.14999999999998</v>
      </c>
      <c r="C149">
        <v>0.0001672</v>
      </c>
      <c r="D149">
        <v>0.0054200000000000003</v>
      </c>
    </row>
    <row r="150">
      <c r="A150" s="3" t="s">
        <v>37</v>
      </c>
      <c r="B150" s="3"/>
      <c r="C150" s="3"/>
      <c r="D150" s="3"/>
    </row>
    <row r="151">
      <c r="A151" s="2">
        <v>1</v>
      </c>
      <c r="B151" t="s">
        <v>29</v>
      </c>
      <c r="C151" t="s">
        <v>38</v>
      </c>
    </row>
    <row r="152">
      <c r="A152" s="2">
        <v>2</v>
      </c>
      <c r="B152" t="s">
        <v>34</v>
      </c>
      <c r="C152" t="s">
        <v>40</v>
      </c>
    </row>
    <row r="153">
      <c r="A153" s="2">
        <v>3</v>
      </c>
      <c r="B153" t="s">
        <v>78</v>
      </c>
      <c r="C153" t="s">
        <v>80</v>
      </c>
    </row>
    <row r="154">
      <c r="A154" s="3" t="s">
        <v>41</v>
      </c>
      <c r="B154" s="0"/>
      <c r="C154" s="0"/>
      <c r="D154" s="0"/>
    </row>
    <row r="155">
      <c r="A155" s="2">
        <v>1</v>
      </c>
      <c r="B155">
        <f>HYPERLINK("#Components!A1","4390-04-9")</f>
      </c>
      <c r="C155" t="s">
        <v>0</v>
      </c>
    </row>
    <row r="156">
      <c r="A156" s="3" t="s">
        <v>43</v>
      </c>
      <c r="B156" s="0"/>
      <c r="C156" s="0"/>
      <c r="D156" s="0"/>
    </row>
    <row r="157">
      <c r="A157" s="2" t="s">
        <v>44</v>
      </c>
      <c r="B157" t="s">
        <v>81</v>
      </c>
    </row>
    <row r="158">
      <c r="A158" s="2" t="s">
        <v>46</v>
      </c>
      <c r="B158">
        <f>HYPERLINK("#References!A40","DELI-133943")</f>
      </c>
    </row>
  </sheetData>
  <mergeCells count="22">
    <mergeCell ref="A2:A5"/>
    <mergeCell ref="B2:C2"/>
    <mergeCell ref="B3:C3"/>
    <mergeCell ref="B5:C5"/>
    <mergeCell ref="E2:F2"/>
    <mergeCell ref="E3:F3"/>
    <mergeCell ref="E5:F5"/>
    <mergeCell ref="A48:F48"/>
    <mergeCell ref="A52:F52"/>
    <mergeCell ref="A54:F54"/>
    <mergeCell ref="A59:A62"/>
    <mergeCell ref="A93:D93"/>
    <mergeCell ref="A97:D97"/>
    <mergeCell ref="A99:D99"/>
    <mergeCell ref="A104:A107"/>
    <mergeCell ref="A126:D126"/>
    <mergeCell ref="A130:D130"/>
    <mergeCell ref="A132:D132"/>
    <mergeCell ref="A137:A140"/>
    <mergeCell ref="A150:D150"/>
    <mergeCell ref="A154:D154"/>
    <mergeCell ref="A156:D156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FormatPr defaultRowHeight="15"/>
  <cols>
    <col min="1" max="2" width="20.7109375" customWidth="true"/>
  </cols>
  <sheetData>
    <row r="1">
      <c r="A1" s="1" t="s">
        <v>6</v>
      </c>
      <c r="B1" s="1"/>
      <c r="C1" s="1"/>
      <c r="D1" s="1"/>
      <c r="E1" s="1"/>
      <c r="F1" s="1"/>
      <c r="G1" s="1"/>
    </row>
    <row r="2">
      <c r="A2" t="s">
        <v>7</v>
      </c>
      <c r="B2" t="s">
        <v>8</v>
      </c>
    </row>
    <row r="3">
      <c r="A3" t="s">
        <v>9</v>
      </c>
      <c r="B3" t="s">
        <v>10</v>
      </c>
    </row>
    <row r="4">
      <c r="A4" t="s">
        <v>11</v>
      </c>
      <c r="B4" t="s">
        <v>12</v>
      </c>
    </row>
    <row r="5">
      <c r="A5" t="s">
        <v>13</v>
      </c>
      <c r="B5" t="s">
        <v>14</v>
      </c>
    </row>
    <row r="6">
      <c r="A6" t="s">
        <v>15</v>
      </c>
      <c r="B6" t="s">
        <v>16</v>
      </c>
    </row>
    <row r="7">
      <c r="A7" t="s">
        <v>17</v>
      </c>
      <c r="B7" t="s">
        <v>18</v>
      </c>
    </row>
    <row r="8">
      <c r="A8" t="s">
        <v>19</v>
      </c>
      <c r="B8" t="s">
        <v>20</v>
      </c>
    </row>
    <row r="9">
      <c r="A9" t="s">
        <v>21</v>
      </c>
      <c r="B9" t="s">
        <v>22</v>
      </c>
    </row>
    <row r="10">
      <c r="A10" t="s">
        <v>23</v>
      </c>
      <c r="B10" t="s">
        <v>24</v>
      </c>
    </row>
    <row r="11">
      <c r="A11" t="s">
        <v>25</v>
      </c>
      <c r="B11" t="s">
        <v>26</v>
      </c>
    </row>
    <row r="12">
      <c r="A12" t="s">
        <v>27</v>
      </c>
      <c r="B12">
        <f>HYPERLINK("http://dx.doi.org/10.1023/A:1025028228788","10.1023/A:1025028228788")</f>
      </c>
    </row>
    <row r="14">
      <c r="A14" s="1" t="s">
        <v>47</v>
      </c>
      <c r="B14" s="1"/>
      <c r="C14" s="1"/>
      <c r="D14" s="1"/>
      <c r="E14" s="1"/>
      <c r="F14" s="1"/>
      <c r="G14" s="1"/>
    </row>
    <row r="15">
      <c r="A15" t="s">
        <v>7</v>
      </c>
      <c r="B15" t="s">
        <v>48</v>
      </c>
    </row>
    <row r="16">
      <c r="A16" t="s">
        <v>9</v>
      </c>
      <c r="B16" t="s">
        <v>49</v>
      </c>
    </row>
    <row r="17">
      <c r="A17" t="s">
        <v>11</v>
      </c>
      <c r="B17" t="s">
        <v>12</v>
      </c>
    </row>
    <row r="18">
      <c r="A18" t="s">
        <v>13</v>
      </c>
      <c r="B18" t="s">
        <v>14</v>
      </c>
    </row>
    <row r="19">
      <c r="A19" t="s">
        <v>15</v>
      </c>
      <c r="B19" t="s">
        <v>50</v>
      </c>
    </row>
    <row r="20">
      <c r="A20" t="s">
        <v>17</v>
      </c>
      <c r="B20" t="s">
        <v>51</v>
      </c>
    </row>
    <row r="21">
      <c r="A21" t="s">
        <v>19</v>
      </c>
      <c r="B21" t="s">
        <v>52</v>
      </c>
    </row>
    <row r="22">
      <c r="A22" t="s">
        <v>21</v>
      </c>
      <c r="B22" t="s">
        <v>53</v>
      </c>
    </row>
    <row r="23">
      <c r="A23" t="s">
        <v>23</v>
      </c>
      <c r="B23" t="s">
        <v>24</v>
      </c>
    </row>
    <row r="24">
      <c r="A24" t="s">
        <v>25</v>
      </c>
      <c r="B24" t="s">
        <v>26</v>
      </c>
    </row>
    <row r="25">
      <c r="A25" t="s">
        <v>27</v>
      </c>
      <c r="B25">
        <f>HYPERLINK("http://dx.doi.org/10.1007/BF02083543","10.1007/BF02083543")</f>
      </c>
    </row>
    <row r="27">
      <c r="A27" s="1" t="s">
        <v>56</v>
      </c>
      <c r="B27" s="1"/>
      <c r="C27" s="1"/>
      <c r="D27" s="1"/>
      <c r="E27" s="1"/>
      <c r="F27" s="1"/>
      <c r="G27" s="1"/>
    </row>
    <row r="28">
      <c r="A28" t="s">
        <v>7</v>
      </c>
      <c r="B28" t="s">
        <v>57</v>
      </c>
    </row>
    <row r="29">
      <c r="A29" t="s">
        <v>9</v>
      </c>
      <c r="B29" t="s">
        <v>58</v>
      </c>
    </row>
    <row r="30">
      <c r="A30" t="s">
        <v>11</v>
      </c>
      <c r="B30" t="s">
        <v>59</v>
      </c>
    </row>
    <row r="31">
      <c r="A31" t="s">
        <v>13</v>
      </c>
      <c r="B31" t="s">
        <v>60</v>
      </c>
    </row>
    <row r="32">
      <c r="A32" t="s">
        <v>15</v>
      </c>
      <c r="B32" t="s">
        <v>61</v>
      </c>
    </row>
    <row r="33">
      <c r="A33" t="s">
        <v>17</v>
      </c>
      <c r="B33" t="s">
        <v>18</v>
      </c>
    </row>
    <row r="34">
      <c r="A34" t="s">
        <v>19</v>
      </c>
      <c r="B34" t="s">
        <v>62</v>
      </c>
    </row>
    <row r="35">
      <c r="A35" t="s">
        <v>21</v>
      </c>
      <c r="B35" t="s">
        <v>63</v>
      </c>
    </row>
    <row r="36">
      <c r="A36" t="s">
        <v>23</v>
      </c>
      <c r="B36" t="s">
        <v>24</v>
      </c>
    </row>
    <row r="37">
      <c r="A37" t="s">
        <v>25</v>
      </c>
      <c r="B37" t="s">
        <v>64</v>
      </c>
    </row>
    <row r="38">
      <c r="A38" t="s">
        <v>27</v>
      </c>
      <c r="B38">
        <f>HYPERLINK("http://dx.doi.org/10.1021/je00016a006","10.1021/je00016a006")</f>
      </c>
    </row>
    <row r="40">
      <c r="A40" s="1" t="s">
        <v>68</v>
      </c>
      <c r="B40" s="1"/>
      <c r="C40" s="1"/>
      <c r="D40" s="1"/>
      <c r="E40" s="1"/>
      <c r="F40" s="1"/>
      <c r="G40" s="1"/>
    </row>
    <row r="41">
      <c r="A41" t="s">
        <v>7</v>
      </c>
      <c r="B41" t="s">
        <v>69</v>
      </c>
    </row>
    <row r="42">
      <c r="A42" t="s">
        <v>9</v>
      </c>
      <c r="B42" t="s">
        <v>70</v>
      </c>
    </row>
    <row r="43">
      <c r="A43" t="s">
        <v>11</v>
      </c>
      <c r="B43" t="s">
        <v>71</v>
      </c>
    </row>
    <row r="44">
      <c r="A44" t="s">
        <v>13</v>
      </c>
      <c r="B44" t="s">
        <v>72</v>
      </c>
    </row>
    <row r="45">
      <c r="A45" t="s">
        <v>15</v>
      </c>
      <c r="B45" t="s">
        <v>73</v>
      </c>
    </row>
    <row r="46">
      <c r="A46" t="s">
        <v>17</v>
      </c>
      <c r="B46" t="s">
        <v>74</v>
      </c>
    </row>
    <row r="47">
      <c r="A47" t="s">
        <v>19</v>
      </c>
      <c r="B47" t="s">
        <v>75</v>
      </c>
    </row>
    <row r="48">
      <c r="A48" t="s">
        <v>21</v>
      </c>
      <c r="B48" t="s">
        <v>76</v>
      </c>
    </row>
    <row r="49">
      <c r="A49" t="s">
        <v>25</v>
      </c>
      <c r="B49" t="s">
        <v>77</v>
      </c>
    </row>
    <row r="50">
      <c r="A50" t="s">
        <v>27</v>
      </c>
      <c r="B50">
        <f>HYPERLINK("http://dx.doi.org/10.1021/acs.jpcb.0c01740","10.1021/acs.jpcb.0c01740")</f>
      </c>
    </row>
  </sheetData>
</worksheet>
</file>