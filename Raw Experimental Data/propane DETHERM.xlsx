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<sst xmlns="http://schemas.openxmlformats.org/spreadsheetml/2006/main" count="181" uniqueCount="92">
  <si>
    <t>propane</t>
  </si>
  <si>
    <t>SYSTEMATICAL NAME</t>
  </si>
  <si>
    <t>SUM FORMULA</t>
  </si>
  <si>
    <t>C3H8</t>
  </si>
  <si>
    <t>CAS NO.</t>
  </si>
  <si>
    <t>74-98-6</t>
  </si>
  <si>
    <t>SYNONYMS</t>
  </si>
  <si>
    <t>R 290</t>
  </si>
  <si>
    <t>freon</t>
  </si>
  <si>
    <t>freon 290</t>
  </si>
  <si>
    <t>dimethylmethane</t>
  </si>
  <si>
    <t>propyl hydride</t>
  </si>
  <si>
    <t>refrigerant 290</t>
  </si>
  <si>
    <t>DELI-003034</t>
  </si>
  <si>
    <t>AUTHOR</t>
  </si>
  <si>
    <t>Holland,P.M.;Hanley,H.J.M.;Gubbins,K.E.;Haile,J.M.</t>
  </si>
  <si>
    <t>TITLE</t>
  </si>
  <si>
    <t>A Correlation of the Viscosity and Thermal Conductivity Data of Gaseous and Liquid Propane</t>
  </si>
  <si>
    <t>JOURNAL</t>
  </si>
  <si>
    <t>J. Phys. Chem. Ref. Data</t>
  </si>
  <si>
    <t>CODEN</t>
  </si>
  <si>
    <t>JPCRBU</t>
  </si>
  <si>
    <t>VOLUME</t>
  </si>
  <si>
    <t>8</t>
  </si>
  <si>
    <t>ISSUE</t>
  </si>
  <si>
    <t>2</t>
  </si>
  <si>
    <t>PAGE</t>
  </si>
  <si>
    <t>559-575</t>
  </si>
  <si>
    <t>YEAR</t>
  </si>
  <si>
    <t>1979</t>
  </si>
  <si>
    <t>LANGUAGE</t>
  </si>
  <si>
    <t>ENGL</t>
  </si>
  <si>
    <t>ISSN/ISBN</t>
  </si>
  <si>
    <t>0047-2689</t>
  </si>
  <si>
    <t>DOI</t>
  </si>
  <si>
    <t>No.</t>
  </si>
  <si>
    <t>T/L</t>
  </si>
  <si>
    <t>K</t>
  </si>
  <si>
    <t>p/L</t>
  </si>
  <si>
    <t>Pa</t>
  </si>
  <si>
    <t>dynamic viscosity/L</t>
  </si>
  <si>
    <t>Pa.s</t>
  </si>
  <si>
    <t/>
  </si>
  <si>
    <t>thermal conduct./L</t>
  </si>
  <si>
    <t>W/m.K</t>
  </si>
  <si>
    <t>propane - viscosity, dynamic, thermal conductivity</t>
  </si>
  <si>
    <t>Column-Description</t>
  </si>
  <si>
    <t>temperature, liquid</t>
  </si>
  <si>
    <t>pressure, liquid</t>
  </si>
  <si>
    <t>viscosity, dynamic, liquid, calculated, recommended</t>
  </si>
  <si>
    <t>thermal conductivity, liquid, calculated, recommended</t>
  </si>
  <si>
    <t>Component</t>
  </si>
  <si>
    <t>References</t>
  </si>
  <si>
    <t>UTI</t>
  </si>
  <si>
    <t>2008-FEB-26-14:07/484</t>
  </si>
  <si>
    <t>Literature</t>
  </si>
  <si>
    <t>DELI-037050</t>
  </si>
  <si>
    <t>Lee,A.L.</t>
  </si>
  <si>
    <t>Viscosity of Light Hydrocarbons. Monograph on API Research Project 65</t>
  </si>
  <si>
    <t>TITLE OF MONOGRAPH</t>
  </si>
  <si>
    <t>Viscosity of Light Hydrocarbons. Monograph on Api Research Project 65</t>
  </si>
  <si>
    <t>Monograph</t>
  </si>
  <si>
    <t>1-127</t>
  </si>
  <si>
    <t>1965</t>
  </si>
  <si>
    <t>T</t>
  </si>
  <si>
    <t>p</t>
  </si>
  <si>
    <t>propane - Dynamic viscosity</t>
  </si>
  <si>
    <t>temperature</t>
  </si>
  <si>
    <t>pressure</t>
  </si>
  <si>
    <t>viscosity, dynamic, liquid, isothermal</t>
  </si>
  <si>
    <t>DDB-PCP:2007-DEC/32876</t>
  </si>
  <si>
    <t>DELI-120450</t>
  </si>
  <si>
    <t>Wang,J.;Zhao,Y.;Dong,X.;Wang,F.;Li,H.;Zhong,Q.;Yao,X.;Gong,M.</t>
  </si>
  <si>
    <t>A vibrating-wire viscometer and measured viscosity data of compressed liquid carbon dioxide at temperatures from 218.150 to 273.150 K and pressures up to 13 MPa</t>
  </si>
  <si>
    <t>J. Mol. Liq.</t>
  </si>
  <si>
    <t>JMLIDT</t>
  </si>
  <si>
    <t>310</t>
  </si>
  <si>
    <t>113208-1-113208-8</t>
  </si>
  <si>
    <t>2020</t>
  </si>
  <si>
    <t>0167-7322</t>
  </si>
  <si>
    <t>DDB-PCP:2021/369337</t>
  </si>
  <si>
    <t>DELI-001940</t>
  </si>
  <si>
    <t>Diller,D.E.</t>
  </si>
  <si>
    <t>Measurements of the viscosity of saturated and compressed liquid propane</t>
  </si>
  <si>
    <t>J. Chem. Eng. Data</t>
  </si>
  <si>
    <t>JCEAAX</t>
  </si>
  <si>
    <t>27</t>
  </si>
  <si>
    <t>3</t>
  </si>
  <si>
    <t>240-243</t>
  </si>
  <si>
    <t>1982</t>
  </si>
  <si>
    <t>0021-9568</t>
  </si>
  <si>
    <t>DDB-PCP:2015-Mar/35706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</si>
</sst>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99"/>
  <sheetFormatPr defaultRowHeight="15"/>
  <cols>
    <col min="1" max="1" width="20.7109375" customWidth="true"/>
  </cols>
  <sheetData>
    <row r="1">
      <c r="A1" s="1" t="s">
        <v>45</v>
      </c>
      <c r="B1" s="1"/>
      <c r="C1" s="1"/>
      <c r="D1" s="1"/>
      <c r="E1" s="1"/>
      <c r="F1" s="1"/>
      <c r="G1" s="1"/>
    </row>
    <row r="2">
      <c r="A2" s="2" t="s">
        <v>35</v>
      </c>
      <c r="B2" s="2" t="s">
        <v>36</v>
      </c>
      <c r="C2" s="2" t="s">
        <v>38</v>
      </c>
      <c r="D2" s="2" t="s">
        <v>40</v>
      </c>
      <c r="E2" s="2"/>
      <c r="F2" s="2" t="s">
        <v>43</v>
      </c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 t="s">
        <v>37</v>
      </c>
      <c r="C4" s="2" t="s">
        <v>39</v>
      </c>
      <c r="D4" s="2" t="s">
        <v>41</v>
      </c>
      <c r="E4" s="2" t="s">
        <v>42</v>
      </c>
      <c r="F4" s="2" t="s">
        <v>44</v>
      </c>
      <c r="G4" s="2" t="s">
        <v>42</v>
      </c>
    </row>
    <row r="5">
      <c r="A5" s="2"/>
      <c r="B5" s="2">
        <v>1</v>
      </c>
      <c r="C5" s="2">
        <v>2</v>
      </c>
      <c r="D5" s="2">
        <v>3</v>
      </c>
      <c r="E5" s="2"/>
      <c r="F5" s="2">
        <v>4</v>
      </c>
      <c r="G5" s="2"/>
    </row>
    <row r="6">
      <c r="A6" s="2">
        <v>1</v>
      </c>
      <c r="B6">
        <v>140</v>
      </c>
      <c r="C6">
        <v>100000</v>
      </c>
      <c r="D6">
        <v>0.00084214999999999995</v>
      </c>
      <c r="E6" s="5">
        <v>5</v>
      </c>
      <c r="F6">
        <v>0.19821</v>
      </c>
      <c r="G6" s="5">
        <v>8</v>
      </c>
    </row>
    <row r="7">
      <c r="A7" s="2">
        <v>2</v>
      </c>
      <c r="B7">
        <v>150</v>
      </c>
      <c r="C7">
        <v>100000</v>
      </c>
      <c r="D7">
        <v>0.00065773999999999997</v>
      </c>
      <c r="E7" s="5">
        <v>5</v>
      </c>
      <c r="F7">
        <v>0.19098000000000001</v>
      </c>
      <c r="G7" s="5">
        <v>8</v>
      </c>
    </row>
    <row r="8">
      <c r="A8" s="2">
        <v>3</v>
      </c>
      <c r="B8">
        <v>160</v>
      </c>
      <c r="C8">
        <v>100000</v>
      </c>
      <c r="D8">
        <v>0.00053204999999999995</v>
      </c>
      <c r="E8" s="5">
        <v>5</v>
      </c>
      <c r="F8">
        <v>0.18301999999999999</v>
      </c>
      <c r="G8" s="5">
        <v>8</v>
      </c>
    </row>
    <row r="9">
      <c r="A9" s="2">
        <v>4</v>
      </c>
      <c r="B9">
        <v>170</v>
      </c>
      <c r="C9">
        <v>100000</v>
      </c>
      <c r="D9">
        <v>0.00044189000000000001</v>
      </c>
      <c r="E9" s="5">
        <v>5</v>
      </c>
      <c r="F9">
        <v>0.17473</v>
      </c>
      <c r="G9" s="5">
        <v>8</v>
      </c>
    </row>
    <row r="10">
      <c r="A10" s="2">
        <v>5</v>
      </c>
      <c r="B10">
        <v>180</v>
      </c>
      <c r="C10">
        <v>100000</v>
      </c>
      <c r="D10">
        <v>0.0003745</v>
      </c>
      <c r="E10" s="5">
        <v>5</v>
      </c>
      <c r="F10">
        <v>0.16642999999999999</v>
      </c>
      <c r="G10" s="5">
        <v>8</v>
      </c>
    </row>
    <row r="11">
      <c r="A11" s="2">
        <v>6</v>
      </c>
      <c r="B11">
        <v>190</v>
      </c>
      <c r="C11">
        <v>100000</v>
      </c>
      <c r="D11">
        <v>0.00032241000000000003</v>
      </c>
      <c r="E11" s="5">
        <v>5</v>
      </c>
      <c r="F11">
        <v>0.15828</v>
      </c>
      <c r="G11" s="5">
        <v>8</v>
      </c>
    </row>
    <row r="12">
      <c r="A12" s="2">
        <v>7</v>
      </c>
      <c r="B12">
        <v>200</v>
      </c>
      <c r="C12">
        <v>100000</v>
      </c>
      <c r="D12">
        <v>0.00028100999999999999</v>
      </c>
      <c r="E12" s="5">
        <v>5</v>
      </c>
      <c r="F12">
        <v>0.15040000000000001</v>
      </c>
      <c r="G12" s="5">
        <v>8</v>
      </c>
    </row>
    <row r="13">
      <c r="A13" s="2">
        <v>8</v>
      </c>
      <c r="B13">
        <v>210</v>
      </c>
      <c r="C13">
        <v>100000</v>
      </c>
      <c r="D13">
        <v>0.00024732999999999998</v>
      </c>
      <c r="E13" s="5">
        <v>5</v>
      </c>
      <c r="F13">
        <v>0.14287</v>
      </c>
      <c r="G13" s="5">
        <v>8</v>
      </c>
    </row>
    <row r="14">
      <c r="A14" s="2">
        <v>9</v>
      </c>
      <c r="B14">
        <v>220</v>
      </c>
      <c r="C14">
        <v>100000</v>
      </c>
      <c r="D14">
        <v>0.00021935999999999999</v>
      </c>
      <c r="E14" s="5">
        <v>5</v>
      </c>
      <c r="F14">
        <v>0.13571</v>
      </c>
      <c r="G14" s="5">
        <v>8</v>
      </c>
    </row>
    <row r="15">
      <c r="A15" s="2">
        <v>10</v>
      </c>
      <c r="B15">
        <v>230</v>
      </c>
      <c r="C15">
        <v>100000</v>
      </c>
      <c r="D15">
        <v>0.00019573</v>
      </c>
      <c r="E15" s="5">
        <v>5</v>
      </c>
      <c r="F15">
        <v>0.12892000000000001</v>
      </c>
      <c r="G15" s="5">
        <v>8</v>
      </c>
    </row>
    <row r="16">
      <c r="A16" s="2">
        <v>11</v>
      </c>
      <c r="B16">
        <v>140</v>
      </c>
      <c r="C16">
        <v>500000</v>
      </c>
      <c r="D16">
        <v>0.00084570000000000001</v>
      </c>
      <c r="E16" s="5">
        <v>5</v>
      </c>
      <c r="F16">
        <v>0.19864000000000001</v>
      </c>
      <c r="G16" s="5">
        <v>8</v>
      </c>
    </row>
    <row r="17">
      <c r="A17" s="2">
        <v>12</v>
      </c>
      <c r="B17">
        <v>150</v>
      </c>
      <c r="C17">
        <v>500000</v>
      </c>
      <c r="D17">
        <v>0.00066047000000000002</v>
      </c>
      <c r="E17" s="5">
        <v>5</v>
      </c>
      <c r="F17">
        <v>0.19139999999999999</v>
      </c>
      <c r="G17" s="5">
        <v>8</v>
      </c>
    </row>
    <row r="18">
      <c r="A18" s="2">
        <v>13</v>
      </c>
      <c r="B18">
        <v>160</v>
      </c>
      <c r="C18">
        <v>500000</v>
      </c>
      <c r="D18">
        <v>0.00053423999999999995</v>
      </c>
      <c r="E18" s="5">
        <v>5</v>
      </c>
      <c r="F18">
        <v>0.18340999999999999</v>
      </c>
      <c r="G18" s="5">
        <v>8</v>
      </c>
    </row>
    <row r="19">
      <c r="A19" s="2">
        <v>14</v>
      </c>
      <c r="B19">
        <v>170</v>
      </c>
      <c r="C19">
        <v>500000</v>
      </c>
      <c r="D19">
        <v>0.0004437</v>
      </c>
      <c r="E19" s="5">
        <v>5</v>
      </c>
      <c r="F19">
        <v>0.17510999999999999</v>
      </c>
      <c r="G19" s="5">
        <v>8</v>
      </c>
    </row>
    <row r="20">
      <c r="A20" s="2">
        <v>15</v>
      </c>
      <c r="B20">
        <v>180</v>
      </c>
      <c r="C20">
        <v>500000</v>
      </c>
      <c r="D20">
        <v>0.00037604000000000001</v>
      </c>
      <c r="E20" s="5">
        <v>5</v>
      </c>
      <c r="F20">
        <v>0.16678999999999999</v>
      </c>
      <c r="G20" s="5">
        <v>8</v>
      </c>
    </row>
    <row r="21">
      <c r="A21" s="2">
        <v>16</v>
      </c>
      <c r="B21">
        <v>190</v>
      </c>
      <c r="C21">
        <v>500000</v>
      </c>
      <c r="D21">
        <v>0.00032375999999999998</v>
      </c>
      <c r="E21" s="5">
        <v>5</v>
      </c>
      <c r="F21">
        <v>0.15862999999999999</v>
      </c>
      <c r="G21" s="5">
        <v>8</v>
      </c>
    </row>
    <row r="22">
      <c r="A22" s="2">
        <v>17</v>
      </c>
      <c r="B22">
        <v>200</v>
      </c>
      <c r="C22">
        <v>500000</v>
      </c>
      <c r="D22">
        <v>0.00028221000000000002</v>
      </c>
      <c r="E22" s="5">
        <v>5</v>
      </c>
      <c r="F22">
        <v>0.15075</v>
      </c>
      <c r="G22" s="5">
        <v>8</v>
      </c>
    </row>
    <row r="23">
      <c r="A23" s="2">
        <v>18</v>
      </c>
      <c r="B23">
        <v>210</v>
      </c>
      <c r="C23">
        <v>500000</v>
      </c>
      <c r="D23">
        <v>0.00024842000000000001</v>
      </c>
      <c r="E23" s="5">
        <v>5</v>
      </c>
      <c r="F23">
        <v>0.14321</v>
      </c>
      <c r="G23" s="5">
        <v>8</v>
      </c>
    </row>
    <row r="24">
      <c r="A24" s="2">
        <v>19</v>
      </c>
      <c r="B24">
        <v>220</v>
      </c>
      <c r="C24">
        <v>500000</v>
      </c>
      <c r="D24">
        <v>0.00022036000000000001</v>
      </c>
      <c r="E24" s="5">
        <v>5</v>
      </c>
      <c r="F24">
        <v>0.13605</v>
      </c>
      <c r="G24" s="5">
        <v>8</v>
      </c>
    </row>
    <row r="25">
      <c r="A25" s="2">
        <v>20</v>
      </c>
      <c r="B25">
        <v>230</v>
      </c>
      <c r="C25">
        <v>500000</v>
      </c>
      <c r="D25">
        <v>0.00019667</v>
      </c>
      <c r="E25" s="5">
        <v>5</v>
      </c>
      <c r="F25">
        <v>0.12926000000000001</v>
      </c>
      <c r="G25" s="5">
        <v>8</v>
      </c>
    </row>
    <row r="26">
      <c r="A26" s="2">
        <v>21</v>
      </c>
      <c r="B26">
        <v>240</v>
      </c>
      <c r="C26">
        <v>500000</v>
      </c>
      <c r="D26">
        <v>0.00017632999999999999</v>
      </c>
      <c r="E26" s="5">
        <v>5</v>
      </c>
      <c r="F26">
        <v>0.12284</v>
      </c>
      <c r="G26" s="5">
        <v>8</v>
      </c>
    </row>
    <row r="27">
      <c r="A27" s="2">
        <v>22</v>
      </c>
      <c r="B27">
        <v>250</v>
      </c>
      <c r="C27">
        <v>500000</v>
      </c>
      <c r="D27">
        <v>0.00015862999999999999</v>
      </c>
      <c r="E27" s="5">
        <v>5</v>
      </c>
      <c r="F27">
        <v>0.11676</v>
      </c>
      <c r="G27" s="5">
        <v>8</v>
      </c>
    </row>
    <row r="28">
      <c r="A28" s="2">
        <v>23</v>
      </c>
      <c r="B28">
        <v>260</v>
      </c>
      <c r="C28">
        <v>500000</v>
      </c>
      <c r="D28">
        <v>0.00014302999999999999</v>
      </c>
      <c r="E28" s="5">
        <v>5</v>
      </c>
      <c r="F28">
        <v>0.11101</v>
      </c>
      <c r="G28" s="5">
        <v>8</v>
      </c>
    </row>
    <row r="29">
      <c r="A29" s="2">
        <v>24</v>
      </c>
      <c r="B29">
        <v>270</v>
      </c>
      <c r="C29">
        <v>500000</v>
      </c>
      <c r="D29">
        <v>0.00012908</v>
      </c>
      <c r="E29" s="5">
        <v>5</v>
      </c>
      <c r="F29">
        <v>0.10553</v>
      </c>
      <c r="G29" s="5">
        <v>8</v>
      </c>
    </row>
    <row r="30">
      <c r="A30" s="2">
        <v>25</v>
      </c>
      <c r="B30">
        <v>140</v>
      </c>
      <c r="C30">
        <v>1000000</v>
      </c>
      <c r="D30">
        <v>0.00085015000000000004</v>
      </c>
      <c r="E30" s="5">
        <v>5</v>
      </c>
      <c r="F30">
        <v>0.19918</v>
      </c>
      <c r="G30" s="5">
        <v>8</v>
      </c>
    </row>
    <row r="31">
      <c r="A31" s="2">
        <v>26</v>
      </c>
      <c r="B31">
        <v>150</v>
      </c>
      <c r="C31">
        <v>1000000</v>
      </c>
      <c r="D31">
        <v>0.00066387</v>
      </c>
      <c r="E31" s="5">
        <v>5</v>
      </c>
      <c r="F31">
        <v>0.19191</v>
      </c>
      <c r="G31" s="5">
        <v>8</v>
      </c>
    </row>
    <row r="32">
      <c r="A32" s="2">
        <v>27</v>
      </c>
      <c r="B32">
        <v>160</v>
      </c>
      <c r="C32">
        <v>1000000</v>
      </c>
      <c r="D32">
        <v>0.00053697</v>
      </c>
      <c r="E32" s="5">
        <v>5</v>
      </c>
      <c r="F32">
        <v>0.18390000000000001</v>
      </c>
      <c r="G32" s="5">
        <v>8</v>
      </c>
    </row>
    <row r="33">
      <c r="A33" s="2">
        <v>28</v>
      </c>
      <c r="B33">
        <v>170</v>
      </c>
      <c r="C33">
        <v>1000000</v>
      </c>
      <c r="D33">
        <v>0.00044596000000000002</v>
      </c>
      <c r="E33" s="5">
        <v>5</v>
      </c>
      <c r="F33">
        <v>0.17559</v>
      </c>
      <c r="G33" s="5">
        <v>8</v>
      </c>
    </row>
    <row r="34">
      <c r="A34" s="2">
        <v>29</v>
      </c>
      <c r="B34">
        <v>180</v>
      </c>
      <c r="C34">
        <v>1000000</v>
      </c>
      <c r="D34">
        <v>0.00037796999999999999</v>
      </c>
      <c r="E34" s="5">
        <v>5</v>
      </c>
      <c r="F34">
        <v>0.16725000000000001</v>
      </c>
      <c r="G34" s="5">
        <v>8</v>
      </c>
    </row>
    <row r="35">
      <c r="A35" s="2">
        <v>30</v>
      </c>
      <c r="B35">
        <v>190</v>
      </c>
      <c r="C35">
        <v>1000000</v>
      </c>
      <c r="D35">
        <v>0.00032543999999999997</v>
      </c>
      <c r="E35" s="5">
        <v>5</v>
      </c>
      <c r="F35">
        <v>0.15908</v>
      </c>
      <c r="G35" s="5">
        <v>8</v>
      </c>
    </row>
    <row r="36">
      <c r="A36" s="2">
        <v>31</v>
      </c>
      <c r="B36">
        <v>200</v>
      </c>
      <c r="C36">
        <v>1000000</v>
      </c>
      <c r="D36">
        <v>0.00028371000000000001</v>
      </c>
      <c r="E36" s="5">
        <v>5</v>
      </c>
      <c r="F36">
        <v>0.15118999999999999</v>
      </c>
      <c r="G36" s="5">
        <v>8</v>
      </c>
    </row>
    <row r="37">
      <c r="A37" s="2">
        <v>32</v>
      </c>
      <c r="B37">
        <v>210</v>
      </c>
      <c r="C37">
        <v>1000000</v>
      </c>
      <c r="D37">
        <v>0.00024977000000000002</v>
      </c>
      <c r="E37" s="5">
        <v>5</v>
      </c>
      <c r="F37">
        <v>0.14363999999999999</v>
      </c>
      <c r="G37" s="5">
        <v>8</v>
      </c>
    </row>
    <row r="38">
      <c r="A38" s="2">
        <v>33</v>
      </c>
      <c r="B38">
        <v>220</v>
      </c>
      <c r="C38">
        <v>1000000</v>
      </c>
      <c r="D38">
        <v>0.00022160999999999999</v>
      </c>
      <c r="E38" s="5">
        <v>5</v>
      </c>
      <c r="F38">
        <v>0.13647000000000001</v>
      </c>
      <c r="G38" s="5">
        <v>8</v>
      </c>
    </row>
    <row r="39">
      <c r="A39" s="2">
        <v>34</v>
      </c>
      <c r="B39">
        <v>230</v>
      </c>
      <c r="C39">
        <v>1000000</v>
      </c>
      <c r="D39">
        <v>0.00019782999999999999</v>
      </c>
      <c r="E39" s="5">
        <v>5</v>
      </c>
      <c r="F39">
        <v>0.12967999999999999</v>
      </c>
      <c r="G39" s="5">
        <v>8</v>
      </c>
    </row>
    <row r="40">
      <c r="A40" s="2">
        <v>35</v>
      </c>
      <c r="B40">
        <v>240</v>
      </c>
      <c r="C40">
        <v>1000000</v>
      </c>
      <c r="D40">
        <v>0.00017744000000000001</v>
      </c>
      <c r="E40" s="5">
        <v>5</v>
      </c>
      <c r="F40">
        <v>0.12325999999999999</v>
      </c>
      <c r="G40" s="5">
        <v>8</v>
      </c>
    </row>
    <row r="41">
      <c r="A41" s="2">
        <v>36</v>
      </c>
      <c r="B41">
        <v>250</v>
      </c>
      <c r="C41">
        <v>1000000</v>
      </c>
      <c r="D41">
        <v>0.00015969000000000001</v>
      </c>
      <c r="E41" s="5">
        <v>5</v>
      </c>
      <c r="F41">
        <v>0.11719</v>
      </c>
      <c r="G41" s="5">
        <v>8</v>
      </c>
    </row>
    <row r="42">
      <c r="A42" s="2">
        <v>37</v>
      </c>
      <c r="B42">
        <v>260</v>
      </c>
      <c r="C42">
        <v>1000000</v>
      </c>
      <c r="D42">
        <v>0.00014406</v>
      </c>
      <c r="E42" s="5">
        <v>5</v>
      </c>
      <c r="F42">
        <v>0.11144999999999999</v>
      </c>
      <c r="G42" s="5">
        <v>8</v>
      </c>
    </row>
    <row r="43">
      <c r="A43" s="2">
        <v>38</v>
      </c>
      <c r="B43">
        <v>270</v>
      </c>
      <c r="C43">
        <v>1000000</v>
      </c>
      <c r="D43">
        <v>0.00013009999999999999</v>
      </c>
      <c r="E43" s="5">
        <v>5</v>
      </c>
      <c r="F43">
        <v>0.10599</v>
      </c>
      <c r="G43" s="5">
        <v>8</v>
      </c>
    </row>
    <row r="44">
      <c r="A44" s="2">
        <v>39</v>
      </c>
      <c r="B44">
        <v>280</v>
      </c>
      <c r="C44">
        <v>1000000</v>
      </c>
      <c r="D44">
        <v>0.00011749</v>
      </c>
      <c r="E44" s="5">
        <v>5</v>
      </c>
      <c r="F44">
        <v>0.10077</v>
      </c>
      <c r="G44" s="5">
        <v>8</v>
      </c>
    </row>
    <row r="45">
      <c r="A45" s="2">
        <v>40</v>
      </c>
      <c r="B45">
        <v>290</v>
      </c>
      <c r="C45">
        <v>1000000</v>
      </c>
      <c r="D45">
        <v>0.00010594000000000001</v>
      </c>
      <c r="E45" s="5">
        <v>5</v>
      </c>
      <c r="F45">
        <v>0.095750000000000002</v>
      </c>
      <c r="G45" s="5">
        <v>8</v>
      </c>
    </row>
    <row r="46">
      <c r="A46" s="2">
        <v>41</v>
      </c>
      <c r="B46">
        <v>300</v>
      </c>
      <c r="C46">
        <v>1000000</v>
      </c>
      <c r="D46">
        <v>9.5199999999999997e-05</v>
      </c>
      <c r="E46" s="5">
        <v>5</v>
      </c>
      <c r="F46">
        <v>0.09085</v>
      </c>
      <c r="G46" s="5">
        <v>8</v>
      </c>
    </row>
    <row r="47">
      <c r="A47" s="2">
        <v>42</v>
      </c>
      <c r="B47">
        <v>140</v>
      </c>
      <c r="C47">
        <v>1500000</v>
      </c>
      <c r="D47">
        <v>0.00085459999999999996</v>
      </c>
      <c r="E47" s="5">
        <v>5</v>
      </c>
      <c r="F47">
        <v>0.19972000000000001</v>
      </c>
      <c r="G47" s="5">
        <v>8</v>
      </c>
    </row>
    <row r="48">
      <c r="A48" s="2">
        <v>43</v>
      </c>
      <c r="B48">
        <v>150</v>
      </c>
      <c r="C48">
        <v>1500000</v>
      </c>
      <c r="D48">
        <v>0.00066728000000000002</v>
      </c>
      <c r="E48" s="5">
        <v>5</v>
      </c>
      <c r="F48">
        <v>0.19242999999999999</v>
      </c>
      <c r="G48" s="5">
        <v>8</v>
      </c>
    </row>
    <row r="49">
      <c r="A49" s="2">
        <v>44</v>
      </c>
      <c r="B49">
        <v>160</v>
      </c>
      <c r="C49">
        <v>1500000</v>
      </c>
      <c r="D49">
        <v>0.00053970000000000005</v>
      </c>
      <c r="E49" s="5">
        <v>5</v>
      </c>
      <c r="F49">
        <v>0.18440000000000001</v>
      </c>
      <c r="G49" s="5">
        <v>8</v>
      </c>
    </row>
    <row r="50">
      <c r="A50" s="2">
        <v>45</v>
      </c>
      <c r="B50">
        <v>170</v>
      </c>
      <c r="C50">
        <v>1500000</v>
      </c>
      <c r="D50">
        <v>0.00044822999999999998</v>
      </c>
      <c r="E50" s="5">
        <v>5</v>
      </c>
      <c r="F50">
        <v>0.17605999999999999</v>
      </c>
      <c r="G50" s="5">
        <v>8</v>
      </c>
    </row>
    <row r="51">
      <c r="A51" s="2">
        <v>46</v>
      </c>
      <c r="B51">
        <v>180</v>
      </c>
      <c r="C51">
        <v>1500000</v>
      </c>
      <c r="D51">
        <v>0.00037990000000000002</v>
      </c>
      <c r="E51" s="5">
        <v>5</v>
      </c>
      <c r="F51">
        <v>0.16771</v>
      </c>
      <c r="G51" s="5">
        <v>8</v>
      </c>
    </row>
    <row r="52">
      <c r="A52" s="2">
        <v>47</v>
      </c>
      <c r="B52">
        <v>190</v>
      </c>
      <c r="C52">
        <v>1500000</v>
      </c>
      <c r="D52">
        <v>0.00032712000000000003</v>
      </c>
      <c r="E52" s="5">
        <v>5</v>
      </c>
      <c r="F52">
        <v>0.15952</v>
      </c>
      <c r="G52" s="5">
        <v>8</v>
      </c>
    </row>
    <row r="53">
      <c r="A53" s="2">
        <v>48</v>
      </c>
      <c r="B53">
        <v>200</v>
      </c>
      <c r="C53">
        <v>1500000</v>
      </c>
      <c r="D53">
        <v>0.00028520999999999999</v>
      </c>
      <c r="E53" s="5">
        <v>5</v>
      </c>
      <c r="F53">
        <v>0.15162</v>
      </c>
      <c r="G53" s="5">
        <v>8</v>
      </c>
    </row>
    <row r="54">
      <c r="A54" s="2">
        <v>49</v>
      </c>
      <c r="B54">
        <v>210</v>
      </c>
      <c r="C54">
        <v>1500000</v>
      </c>
      <c r="D54">
        <v>0.00025113000000000002</v>
      </c>
      <c r="E54" s="5">
        <v>5</v>
      </c>
      <c r="F54">
        <v>0.14407</v>
      </c>
      <c r="G54" s="5">
        <v>8</v>
      </c>
    </row>
    <row r="55">
      <c r="A55" s="2">
        <v>50</v>
      </c>
      <c r="B55">
        <v>220</v>
      </c>
      <c r="C55">
        <v>1500000</v>
      </c>
      <c r="D55">
        <v>0.00022285999999999999</v>
      </c>
      <c r="E55" s="5">
        <v>5</v>
      </c>
      <c r="F55">
        <v>0.13689000000000001</v>
      </c>
      <c r="G55" s="5">
        <v>8</v>
      </c>
    </row>
    <row r="56">
      <c r="A56" s="2">
        <v>51</v>
      </c>
      <c r="B56">
        <v>230</v>
      </c>
      <c r="C56">
        <v>1500000</v>
      </c>
      <c r="D56">
        <v>0.00019898999999999999</v>
      </c>
      <c r="E56" s="5">
        <v>5</v>
      </c>
      <c r="F56">
        <v>0.13009999999999999</v>
      </c>
      <c r="G56" s="5">
        <v>8</v>
      </c>
    </row>
    <row r="57">
      <c r="A57" s="2">
        <v>52</v>
      </c>
      <c r="B57">
        <v>240</v>
      </c>
      <c r="C57">
        <v>1500000</v>
      </c>
      <c r="D57">
        <v>0.00017853000000000001</v>
      </c>
      <c r="E57" s="5">
        <v>5</v>
      </c>
      <c r="F57">
        <v>0.12368</v>
      </c>
      <c r="G57" s="5">
        <v>8</v>
      </c>
    </row>
    <row r="58">
      <c r="A58" s="2">
        <v>53</v>
      </c>
      <c r="B58">
        <v>250</v>
      </c>
      <c r="C58">
        <v>1500000</v>
      </c>
      <c r="D58">
        <v>0.00016075</v>
      </c>
      <c r="E58" s="5">
        <v>5</v>
      </c>
      <c r="F58">
        <v>0.11762</v>
      </c>
      <c r="G58" s="5">
        <v>8</v>
      </c>
    </row>
    <row r="59">
      <c r="A59" s="2">
        <v>54</v>
      </c>
      <c r="B59">
        <v>260</v>
      </c>
      <c r="C59">
        <v>1500000</v>
      </c>
      <c r="D59">
        <v>0.00014507999999999999</v>
      </c>
      <c r="E59" s="5">
        <v>5</v>
      </c>
      <c r="F59">
        <v>0.11189</v>
      </c>
      <c r="G59" s="5">
        <v>8</v>
      </c>
    </row>
    <row r="60">
      <c r="A60" s="2">
        <v>55</v>
      </c>
      <c r="B60">
        <v>270</v>
      </c>
      <c r="C60">
        <v>1500000</v>
      </c>
      <c r="D60">
        <v>0.00013111000000000001</v>
      </c>
      <c r="E60" s="5">
        <v>5</v>
      </c>
      <c r="F60">
        <v>0.10644000000000001</v>
      </c>
      <c r="G60" s="5">
        <v>8</v>
      </c>
    </row>
    <row r="61">
      <c r="A61" s="2">
        <v>56</v>
      </c>
      <c r="B61">
        <v>280</v>
      </c>
      <c r="C61">
        <v>1500000</v>
      </c>
      <c r="D61">
        <v>0.00011851</v>
      </c>
      <c r="E61" s="5">
        <v>5</v>
      </c>
      <c r="F61">
        <v>0.10125000000000001</v>
      </c>
      <c r="G61" s="5">
        <v>8</v>
      </c>
    </row>
    <row r="62">
      <c r="A62" s="2">
        <v>57</v>
      </c>
      <c r="B62">
        <v>290</v>
      </c>
      <c r="C62">
        <v>1500000</v>
      </c>
      <c r="D62">
        <v>0.00010698</v>
      </c>
      <c r="E62" s="5">
        <v>5</v>
      </c>
      <c r="F62">
        <v>0.096259999999999998</v>
      </c>
      <c r="G62" s="5">
        <v>8</v>
      </c>
    </row>
    <row r="63">
      <c r="A63" s="2">
        <v>58</v>
      </c>
      <c r="B63">
        <v>300</v>
      </c>
      <c r="C63">
        <v>1500000</v>
      </c>
      <c r="D63">
        <v>9.6280000000000007e-05</v>
      </c>
      <c r="E63" s="5">
        <v>5</v>
      </c>
      <c r="F63">
        <v>0.091410000000000005</v>
      </c>
      <c r="G63" s="5">
        <v>8</v>
      </c>
    </row>
    <row r="64">
      <c r="A64" s="2">
        <v>59</v>
      </c>
      <c r="B64">
        <v>140</v>
      </c>
      <c r="C64">
        <v>2000000</v>
      </c>
      <c r="D64">
        <v>0.00085906000000000003</v>
      </c>
      <c r="E64" s="5">
        <v>5</v>
      </c>
      <c r="F64">
        <v>0.20025000000000001</v>
      </c>
      <c r="G64" s="5">
        <v>8</v>
      </c>
    </row>
    <row r="65">
      <c r="A65" s="2">
        <v>60</v>
      </c>
      <c r="B65">
        <v>150</v>
      </c>
      <c r="C65">
        <v>2000000</v>
      </c>
      <c r="D65">
        <v>0.00067069000000000004</v>
      </c>
      <c r="E65" s="5">
        <v>5</v>
      </c>
      <c r="F65">
        <v>0.19294</v>
      </c>
      <c r="G65" s="5">
        <v>8</v>
      </c>
    </row>
    <row r="66">
      <c r="A66" s="2">
        <v>61</v>
      </c>
      <c r="B66">
        <v>160</v>
      </c>
      <c r="C66">
        <v>2000000</v>
      </c>
      <c r="D66">
        <v>0.00054243</v>
      </c>
      <c r="E66" s="5">
        <v>5</v>
      </c>
      <c r="F66">
        <v>0.18489</v>
      </c>
      <c r="G66" s="5">
        <v>8</v>
      </c>
    </row>
    <row r="67">
      <c r="A67" s="2">
        <v>62</v>
      </c>
      <c r="B67">
        <v>170</v>
      </c>
      <c r="C67">
        <v>2000000</v>
      </c>
      <c r="D67">
        <v>0.00045049000000000001</v>
      </c>
      <c r="E67" s="5">
        <v>5</v>
      </c>
      <c r="F67">
        <v>0.17654</v>
      </c>
      <c r="G67" s="5">
        <v>8</v>
      </c>
    </row>
    <row r="68">
      <c r="A68" s="2">
        <v>63</v>
      </c>
      <c r="B68">
        <v>180</v>
      </c>
      <c r="C68">
        <v>2000000</v>
      </c>
      <c r="D68">
        <v>0.00038182999999999999</v>
      </c>
      <c r="E68" s="5">
        <v>5</v>
      </c>
      <c r="F68">
        <v>0.16816999999999999</v>
      </c>
      <c r="G68" s="5">
        <v>8</v>
      </c>
    </row>
    <row r="69">
      <c r="A69" s="2">
        <v>64</v>
      </c>
      <c r="B69">
        <v>190</v>
      </c>
      <c r="C69">
        <v>2000000</v>
      </c>
      <c r="D69">
        <v>0.00032880000000000002</v>
      </c>
      <c r="E69" s="5">
        <v>5</v>
      </c>
      <c r="F69">
        <v>0.15997</v>
      </c>
      <c r="G69" s="5">
        <v>8</v>
      </c>
    </row>
    <row r="70">
      <c r="A70" s="2">
        <v>65</v>
      </c>
      <c r="B70">
        <v>200</v>
      </c>
      <c r="C70">
        <v>2000000</v>
      </c>
      <c r="D70">
        <v>0.00028669999999999998</v>
      </c>
      <c r="E70" s="5">
        <v>5</v>
      </c>
      <c r="F70">
        <v>0.15204999999999999</v>
      </c>
      <c r="G70" s="5">
        <v>8</v>
      </c>
    </row>
    <row r="71">
      <c r="A71" s="2">
        <v>66</v>
      </c>
      <c r="B71">
        <v>210</v>
      </c>
      <c r="C71">
        <v>2000000</v>
      </c>
      <c r="D71">
        <v>0.00025248000000000002</v>
      </c>
      <c r="E71" s="5">
        <v>5</v>
      </c>
      <c r="F71">
        <v>0.14449000000000001</v>
      </c>
      <c r="G71" s="5">
        <v>8</v>
      </c>
    </row>
    <row r="72">
      <c r="A72" s="2">
        <v>67</v>
      </c>
      <c r="B72">
        <v>220</v>
      </c>
      <c r="C72">
        <v>2000000</v>
      </c>
      <c r="D72">
        <v>0.0002241</v>
      </c>
      <c r="E72" s="5">
        <v>5</v>
      </c>
      <c r="F72">
        <v>0.13730999999999999</v>
      </c>
      <c r="G72" s="5">
        <v>8</v>
      </c>
    </row>
    <row r="73">
      <c r="A73" s="2">
        <v>68</v>
      </c>
      <c r="B73">
        <v>230</v>
      </c>
      <c r="C73">
        <v>2000000</v>
      </c>
      <c r="D73">
        <v>0.00020015000000000001</v>
      </c>
      <c r="E73" s="5">
        <v>5</v>
      </c>
      <c r="F73">
        <v>0.13050999999999999</v>
      </c>
      <c r="G73" s="5">
        <v>8</v>
      </c>
    </row>
    <row r="74">
      <c r="A74" s="2">
        <v>69</v>
      </c>
      <c r="B74">
        <v>240</v>
      </c>
      <c r="C74">
        <v>2000000</v>
      </c>
      <c r="D74">
        <v>0.00017963000000000001</v>
      </c>
      <c r="E74" s="5">
        <v>5</v>
      </c>
      <c r="F74">
        <v>0.1241</v>
      </c>
      <c r="G74" s="5">
        <v>8</v>
      </c>
    </row>
    <row r="75">
      <c r="A75" s="2">
        <v>70</v>
      </c>
      <c r="B75">
        <v>250</v>
      </c>
      <c r="C75">
        <v>2000000</v>
      </c>
      <c r="D75">
        <v>0.0001618</v>
      </c>
      <c r="E75" s="5">
        <v>5</v>
      </c>
      <c r="F75">
        <v>0.11804000000000001</v>
      </c>
      <c r="G75" s="5">
        <v>8</v>
      </c>
    </row>
    <row r="76">
      <c r="A76" s="2">
        <v>71</v>
      </c>
      <c r="B76">
        <v>260</v>
      </c>
      <c r="C76">
        <v>2000000</v>
      </c>
      <c r="D76">
        <v>0.0001461</v>
      </c>
      <c r="E76" s="5">
        <v>5</v>
      </c>
      <c r="F76">
        <v>0.11232</v>
      </c>
      <c r="G76" s="5">
        <v>8</v>
      </c>
    </row>
    <row r="77">
      <c r="A77" s="2">
        <v>72</v>
      </c>
      <c r="B77">
        <v>270</v>
      </c>
      <c r="C77">
        <v>2000000</v>
      </c>
      <c r="D77">
        <v>0.00013212</v>
      </c>
      <c r="E77" s="5">
        <v>5</v>
      </c>
      <c r="F77">
        <v>0.10689</v>
      </c>
      <c r="G77" s="5">
        <v>8</v>
      </c>
    </row>
    <row r="78">
      <c r="A78" s="2">
        <v>73</v>
      </c>
      <c r="B78">
        <v>280</v>
      </c>
      <c r="C78">
        <v>2000000</v>
      </c>
      <c r="D78">
        <v>0.00011951</v>
      </c>
      <c r="E78" s="5">
        <v>5</v>
      </c>
      <c r="F78">
        <v>0.10172</v>
      </c>
      <c r="G78" s="5">
        <v>8</v>
      </c>
    </row>
    <row r="79">
      <c r="A79" s="2">
        <v>74</v>
      </c>
      <c r="B79">
        <v>290</v>
      </c>
      <c r="C79">
        <v>2000000</v>
      </c>
      <c r="D79">
        <v>0.000108</v>
      </c>
      <c r="E79" s="5">
        <v>5</v>
      </c>
      <c r="F79">
        <v>0.096759999999999999</v>
      </c>
      <c r="G79" s="5">
        <v>8</v>
      </c>
    </row>
    <row r="80">
      <c r="A80" s="2">
        <v>75</v>
      </c>
      <c r="B80">
        <v>300</v>
      </c>
      <c r="C80">
        <v>2000000</v>
      </c>
      <c r="D80">
        <v>9.7349999999999995e-05</v>
      </c>
      <c r="E80" s="5">
        <v>5</v>
      </c>
      <c r="F80">
        <v>0.091950000000000004</v>
      </c>
      <c r="G80" s="5">
        <v>8</v>
      </c>
    </row>
    <row r="81">
      <c r="A81" s="2">
        <v>76</v>
      </c>
      <c r="B81">
        <v>320</v>
      </c>
      <c r="C81">
        <v>2000000</v>
      </c>
      <c r="D81">
        <v>7.7719999999999994e-05</v>
      </c>
      <c r="E81" s="5">
        <v>5</v>
      </c>
      <c r="F81">
        <v>0.082470000000000002</v>
      </c>
      <c r="G81" s="5">
        <v>8</v>
      </c>
    </row>
    <row r="82">
      <c r="A82" s="2">
        <v>77</v>
      </c>
      <c r="B82">
        <v>140</v>
      </c>
      <c r="C82">
        <v>2500000</v>
      </c>
      <c r="D82">
        <v>0.00086350999999999995</v>
      </c>
      <c r="E82" s="5">
        <v>5</v>
      </c>
      <c r="F82">
        <v>0.20079</v>
      </c>
      <c r="G82" s="5">
        <v>8</v>
      </c>
    </row>
    <row r="83">
      <c r="A83" s="2">
        <v>78</v>
      </c>
      <c r="B83">
        <v>150</v>
      </c>
      <c r="C83">
        <v>2500000</v>
      </c>
      <c r="D83">
        <v>0.00067411000000000001</v>
      </c>
      <c r="E83" s="5">
        <v>5</v>
      </c>
      <c r="F83">
        <v>0.19345000000000001</v>
      </c>
      <c r="G83" s="5">
        <v>8</v>
      </c>
    </row>
    <row r="84">
      <c r="A84" s="2">
        <v>79</v>
      </c>
      <c r="B84">
        <v>160</v>
      </c>
      <c r="C84">
        <v>2500000</v>
      </c>
      <c r="D84">
        <v>0.00054516000000000005</v>
      </c>
      <c r="E84" s="5">
        <v>5</v>
      </c>
      <c r="F84">
        <v>0.18537999999999999</v>
      </c>
      <c r="G84" s="5">
        <v>8</v>
      </c>
    </row>
    <row r="85">
      <c r="A85" s="2">
        <v>80</v>
      </c>
      <c r="B85">
        <v>170</v>
      </c>
      <c r="C85">
        <v>2500000</v>
      </c>
      <c r="D85">
        <v>0.00045274999999999997</v>
      </c>
      <c r="E85" s="5">
        <v>5</v>
      </c>
      <c r="F85">
        <v>0.17701</v>
      </c>
      <c r="G85" s="5">
        <v>8</v>
      </c>
    </row>
    <row r="86">
      <c r="A86" s="2">
        <v>81</v>
      </c>
      <c r="B86">
        <v>180</v>
      </c>
      <c r="C86">
        <v>2500000</v>
      </c>
      <c r="D86">
        <v>0.00038374999999999998</v>
      </c>
      <c r="E86" s="5">
        <v>5</v>
      </c>
      <c r="F86">
        <v>0.16861999999999999</v>
      </c>
      <c r="G86" s="5">
        <v>8</v>
      </c>
    </row>
    <row r="87">
      <c r="A87" s="2">
        <v>82</v>
      </c>
      <c r="B87">
        <v>190</v>
      </c>
      <c r="C87">
        <v>2500000</v>
      </c>
      <c r="D87">
        <v>0.00033048000000000002</v>
      </c>
      <c r="E87" s="5">
        <v>5</v>
      </c>
      <c r="F87">
        <v>0.16041</v>
      </c>
      <c r="G87" s="5">
        <v>8</v>
      </c>
    </row>
    <row r="88">
      <c r="A88" s="2">
        <v>83</v>
      </c>
      <c r="B88">
        <v>200</v>
      </c>
      <c r="C88">
        <v>2500000</v>
      </c>
      <c r="D88">
        <v>0.00028819000000000002</v>
      </c>
      <c r="E88" s="5">
        <v>5</v>
      </c>
      <c r="F88">
        <v>0.15248</v>
      </c>
      <c r="G88" s="5">
        <v>8</v>
      </c>
    </row>
    <row r="89">
      <c r="A89" s="2">
        <v>84</v>
      </c>
      <c r="B89">
        <v>210</v>
      </c>
      <c r="C89">
        <v>2500000</v>
      </c>
      <c r="D89">
        <v>0.00025382999999999997</v>
      </c>
      <c r="E89" s="5">
        <v>5</v>
      </c>
      <c r="F89">
        <v>0.14491000000000001</v>
      </c>
      <c r="G89" s="5">
        <v>8</v>
      </c>
    </row>
    <row r="90">
      <c r="A90" s="2">
        <v>85</v>
      </c>
      <c r="B90">
        <v>220</v>
      </c>
      <c r="C90">
        <v>2500000</v>
      </c>
      <c r="D90">
        <v>0.00022534000000000001</v>
      </c>
      <c r="E90" s="5">
        <v>5</v>
      </c>
      <c r="F90">
        <v>0.13772000000000001</v>
      </c>
      <c r="G90" s="5">
        <v>8</v>
      </c>
    </row>
    <row r="91">
      <c r="A91" s="2">
        <v>86</v>
      </c>
      <c r="B91">
        <v>230</v>
      </c>
      <c r="C91">
        <v>2500000</v>
      </c>
      <c r="D91">
        <v>0.00020129999999999999</v>
      </c>
      <c r="E91" s="5">
        <v>5</v>
      </c>
      <c r="F91">
        <v>0.13092999999999999</v>
      </c>
      <c r="G91" s="5">
        <v>8</v>
      </c>
    </row>
    <row r="92">
      <c r="A92" s="2">
        <v>87</v>
      </c>
      <c r="B92">
        <v>240</v>
      </c>
      <c r="C92">
        <v>2500000</v>
      </c>
      <c r="D92">
        <v>0.00018071999999999999</v>
      </c>
      <c r="E92" s="5">
        <v>5</v>
      </c>
      <c r="F92">
        <v>0.12451</v>
      </c>
      <c r="G92" s="5">
        <v>8</v>
      </c>
    </row>
    <row r="93">
      <c r="A93" s="2">
        <v>88</v>
      </c>
      <c r="B93">
        <v>250</v>
      </c>
      <c r="C93">
        <v>2500000</v>
      </c>
      <c r="D93">
        <v>0.00016284000000000001</v>
      </c>
      <c r="E93" s="5">
        <v>5</v>
      </c>
      <c r="F93">
        <v>0.11846</v>
      </c>
      <c r="G93" s="5">
        <v>8</v>
      </c>
    </row>
    <row r="94">
      <c r="A94" s="2">
        <v>89</v>
      </c>
      <c r="B94">
        <v>260</v>
      </c>
      <c r="C94">
        <v>2500000</v>
      </c>
      <c r="D94">
        <v>0.00014710999999999999</v>
      </c>
      <c r="E94" s="5">
        <v>5</v>
      </c>
      <c r="F94">
        <v>0.11275</v>
      </c>
      <c r="G94" s="5">
        <v>8</v>
      </c>
    </row>
    <row r="95">
      <c r="A95" s="2">
        <v>90</v>
      </c>
      <c r="B95">
        <v>270</v>
      </c>
      <c r="C95">
        <v>2500000</v>
      </c>
      <c r="D95">
        <v>0.00013311</v>
      </c>
      <c r="E95" s="5">
        <v>5</v>
      </c>
      <c r="F95">
        <v>0.10732999999999999</v>
      </c>
      <c r="G95" s="5">
        <v>8</v>
      </c>
    </row>
    <row r="96">
      <c r="A96" s="2">
        <v>91</v>
      </c>
      <c r="B96">
        <v>280</v>
      </c>
      <c r="C96">
        <v>2500000</v>
      </c>
      <c r="D96">
        <v>0.0001205</v>
      </c>
      <c r="E96" s="5">
        <v>5</v>
      </c>
      <c r="F96">
        <v>0.10218000000000001</v>
      </c>
      <c r="G96" s="5">
        <v>8</v>
      </c>
    </row>
    <row r="97">
      <c r="A97" s="2">
        <v>92</v>
      </c>
      <c r="B97">
        <v>290</v>
      </c>
      <c r="C97">
        <v>2500000</v>
      </c>
      <c r="D97">
        <v>0.00010901</v>
      </c>
      <c r="E97" s="5">
        <v>5</v>
      </c>
      <c r="F97">
        <v>0.097250000000000003</v>
      </c>
      <c r="G97" s="5">
        <v>8</v>
      </c>
    </row>
    <row r="98">
      <c r="A98" s="2">
        <v>93</v>
      </c>
      <c r="B98">
        <v>300</v>
      </c>
      <c r="C98">
        <v>2500000</v>
      </c>
      <c r="D98">
        <v>9.8400000000000007e-05</v>
      </c>
      <c r="E98" s="5">
        <v>5</v>
      </c>
      <c r="F98">
        <v>0.092490000000000003</v>
      </c>
      <c r="G98" s="5">
        <v>8</v>
      </c>
    </row>
    <row r="99">
      <c r="A99" s="2">
        <v>94</v>
      </c>
      <c r="B99">
        <v>320</v>
      </c>
      <c r="C99">
        <v>2500000</v>
      </c>
      <c r="D99">
        <v>7.8949999999999995e-05</v>
      </c>
      <c r="E99" s="5">
        <v>5</v>
      </c>
      <c r="F99">
        <v>0.083159999999999998</v>
      </c>
      <c r="G99" s="5">
        <v>8</v>
      </c>
    </row>
    <row r="100">
      <c r="A100" s="2">
        <v>95</v>
      </c>
      <c r="B100">
        <v>340</v>
      </c>
      <c r="C100">
        <v>2500000</v>
      </c>
      <c r="D100">
        <v>5.999e-05</v>
      </c>
      <c r="E100" s="5">
        <v>5</v>
      </c>
      <c r="F100">
        <v>0.073400000000000007</v>
      </c>
      <c r="G100" s="5">
        <v>8</v>
      </c>
    </row>
    <row r="101">
      <c r="A101" s="2">
        <v>96</v>
      </c>
      <c r="B101">
        <v>140</v>
      </c>
      <c r="C101">
        <v>3000000</v>
      </c>
      <c r="D101">
        <v>0.00086797000000000003</v>
      </c>
      <c r="E101" s="5">
        <v>5</v>
      </c>
      <c r="F101">
        <v>0.20133000000000001</v>
      </c>
      <c r="G101" s="5">
        <v>8</v>
      </c>
    </row>
    <row r="102">
      <c r="A102" s="2">
        <v>97</v>
      </c>
      <c r="B102">
        <v>150</v>
      </c>
      <c r="C102">
        <v>3000000</v>
      </c>
      <c r="D102">
        <v>0.00067752000000000003</v>
      </c>
      <c r="E102" s="5">
        <v>5</v>
      </c>
      <c r="F102">
        <v>0.19395999999999999</v>
      </c>
      <c r="G102" s="5">
        <v>8</v>
      </c>
    </row>
    <row r="103">
      <c r="A103" s="2">
        <v>98</v>
      </c>
      <c r="B103">
        <v>160</v>
      </c>
      <c r="C103">
        <v>3000000</v>
      </c>
      <c r="D103">
        <v>0.00054788999999999999</v>
      </c>
      <c r="E103" s="5">
        <v>5</v>
      </c>
      <c r="F103">
        <v>0.18587000000000001</v>
      </c>
      <c r="G103" s="5">
        <v>8</v>
      </c>
    </row>
    <row r="104">
      <c r="A104" s="2">
        <v>99</v>
      </c>
      <c r="B104">
        <v>170</v>
      </c>
      <c r="C104">
        <v>3000000</v>
      </c>
      <c r="D104">
        <v>0.00045501</v>
      </c>
      <c r="E104" s="5">
        <v>5</v>
      </c>
      <c r="F104">
        <v>0.17748</v>
      </c>
      <c r="G104" s="5">
        <v>8</v>
      </c>
    </row>
    <row r="105">
      <c r="A105" s="2">
        <v>100</v>
      </c>
      <c r="B105">
        <v>180</v>
      </c>
      <c r="C105">
        <v>3000000</v>
      </c>
      <c r="D105">
        <v>0.00038567000000000001</v>
      </c>
      <c r="E105" s="5">
        <v>5</v>
      </c>
      <c r="F105">
        <v>0.16907</v>
      </c>
      <c r="G105" s="5">
        <v>8</v>
      </c>
    </row>
    <row r="106">
      <c r="A106" s="2">
        <v>101</v>
      </c>
      <c r="B106">
        <v>190</v>
      </c>
      <c r="C106">
        <v>3000000</v>
      </c>
      <c r="D106">
        <v>0.00033215000000000002</v>
      </c>
      <c r="E106" s="5">
        <v>5</v>
      </c>
      <c r="F106">
        <v>0.16084999999999999</v>
      </c>
      <c r="G106" s="5">
        <v>8</v>
      </c>
    </row>
    <row r="107">
      <c r="A107" s="2">
        <v>102</v>
      </c>
      <c r="B107">
        <v>200</v>
      </c>
      <c r="C107">
        <v>3000000</v>
      </c>
      <c r="D107">
        <v>0.00028968</v>
      </c>
      <c r="E107" s="5">
        <v>5</v>
      </c>
      <c r="F107">
        <v>0.15290999999999999</v>
      </c>
      <c r="G107" s="5">
        <v>8</v>
      </c>
    </row>
    <row r="108">
      <c r="A108" s="2">
        <v>103</v>
      </c>
      <c r="B108">
        <v>210</v>
      </c>
      <c r="C108">
        <v>3000000</v>
      </c>
      <c r="D108">
        <v>0.00025516999999999998</v>
      </c>
      <c r="E108" s="5">
        <v>5</v>
      </c>
      <c r="F108">
        <v>0.14532999999999999</v>
      </c>
      <c r="G108" s="5">
        <v>8</v>
      </c>
    </row>
    <row r="109">
      <c r="A109" s="2">
        <v>104</v>
      </c>
      <c r="B109">
        <v>220</v>
      </c>
      <c r="C109">
        <v>3000000</v>
      </c>
      <c r="D109">
        <v>0.00022656999999999999</v>
      </c>
      <c r="E109" s="5">
        <v>5</v>
      </c>
      <c r="F109">
        <v>0.13814000000000001</v>
      </c>
      <c r="G109" s="5">
        <v>8</v>
      </c>
    </row>
    <row r="110">
      <c r="A110" s="2">
        <v>105</v>
      </c>
      <c r="B110">
        <v>230</v>
      </c>
      <c r="C110">
        <v>3000000</v>
      </c>
      <c r="D110">
        <v>0.00020244999999999999</v>
      </c>
      <c r="E110" s="5">
        <v>5</v>
      </c>
      <c r="F110">
        <v>0.13134000000000001</v>
      </c>
      <c r="G110" s="5">
        <v>8</v>
      </c>
    </row>
    <row r="111">
      <c r="A111" s="2">
        <v>106</v>
      </c>
      <c r="B111">
        <v>240</v>
      </c>
      <c r="C111">
        <v>3000000</v>
      </c>
      <c r="D111">
        <v>0.0001818</v>
      </c>
      <c r="E111" s="5">
        <v>5</v>
      </c>
      <c r="F111">
        <v>0.12493</v>
      </c>
      <c r="G111" s="5">
        <v>8</v>
      </c>
    </row>
    <row r="112">
      <c r="A112" s="2">
        <v>107</v>
      </c>
      <c r="B112">
        <v>250</v>
      </c>
      <c r="C112">
        <v>3000000</v>
      </c>
      <c r="D112">
        <v>0.00016388000000000001</v>
      </c>
      <c r="E112" s="5">
        <v>5</v>
      </c>
      <c r="F112">
        <v>0.11888</v>
      </c>
      <c r="G112" s="5">
        <v>8</v>
      </c>
    </row>
    <row r="113">
      <c r="A113" s="2">
        <v>108</v>
      </c>
      <c r="B113">
        <v>260</v>
      </c>
      <c r="C113">
        <v>3000000</v>
      </c>
      <c r="D113">
        <v>0.00014812000000000001</v>
      </c>
      <c r="E113" s="5">
        <v>5</v>
      </c>
      <c r="F113">
        <v>0.11317000000000001</v>
      </c>
      <c r="G113" s="5">
        <v>8</v>
      </c>
    </row>
    <row r="114">
      <c r="A114" s="2">
        <v>109</v>
      </c>
      <c r="B114">
        <v>270</v>
      </c>
      <c r="C114">
        <v>3000000</v>
      </c>
      <c r="D114">
        <v>0.00013410000000000001</v>
      </c>
      <c r="E114" s="5">
        <v>5</v>
      </c>
      <c r="F114">
        <v>0.10777</v>
      </c>
      <c r="G114" s="5">
        <v>8</v>
      </c>
    </row>
    <row r="115">
      <c r="A115" s="2">
        <v>110</v>
      </c>
      <c r="B115">
        <v>280</v>
      </c>
      <c r="C115">
        <v>3000000</v>
      </c>
      <c r="D115">
        <v>0.00012149</v>
      </c>
      <c r="E115" s="5">
        <v>5</v>
      </c>
      <c r="F115">
        <v>0.10264</v>
      </c>
      <c r="G115" s="5">
        <v>8</v>
      </c>
    </row>
    <row r="116">
      <c r="A116" s="2">
        <v>111</v>
      </c>
      <c r="B116">
        <v>290</v>
      </c>
      <c r="C116">
        <v>3000000</v>
      </c>
      <c r="D116">
        <v>0.00011001</v>
      </c>
      <c r="E116" s="5">
        <v>5</v>
      </c>
      <c r="F116">
        <v>0.097739999999999994</v>
      </c>
      <c r="G116" s="5">
        <v>8</v>
      </c>
    </row>
    <row r="117">
      <c r="A117" s="2">
        <v>112</v>
      </c>
      <c r="B117">
        <v>300</v>
      </c>
      <c r="C117">
        <v>3000000</v>
      </c>
      <c r="D117">
        <v>9.9430000000000002e-05</v>
      </c>
      <c r="E117" s="5">
        <v>5</v>
      </c>
      <c r="F117">
        <v>0.093009999999999995</v>
      </c>
      <c r="G117" s="5">
        <v>8</v>
      </c>
    </row>
    <row r="118">
      <c r="A118" s="2">
        <v>113</v>
      </c>
      <c r="B118">
        <v>320</v>
      </c>
      <c r="C118">
        <v>3000000</v>
      </c>
      <c r="D118">
        <v>8.0140000000000002e-05</v>
      </c>
      <c r="E118" s="5">
        <v>5</v>
      </c>
      <c r="F118">
        <v>0.083830000000000002</v>
      </c>
      <c r="G118" s="5">
        <v>8</v>
      </c>
    </row>
    <row r="119">
      <c r="A119" s="2">
        <v>114</v>
      </c>
      <c r="B119">
        <v>340</v>
      </c>
      <c r="C119">
        <v>3000000</v>
      </c>
      <c r="D119">
        <v>6.1719999999999999e-05</v>
      </c>
      <c r="E119" s="5">
        <v>5</v>
      </c>
      <c r="F119">
        <v>0.074399999999999994</v>
      </c>
      <c r="G119" s="5">
        <v>8</v>
      </c>
    </row>
    <row r="120">
      <c r="A120" s="2">
        <v>115</v>
      </c>
      <c r="B120">
        <v>140</v>
      </c>
      <c r="C120">
        <v>3500000</v>
      </c>
      <c r="D120">
        <v>0.00087244000000000004</v>
      </c>
      <c r="E120" s="5">
        <v>5</v>
      </c>
      <c r="F120">
        <v>0.20186000000000001</v>
      </c>
      <c r="G120" s="5">
        <v>8</v>
      </c>
    </row>
    <row r="121">
      <c r="A121" s="2">
        <v>116</v>
      </c>
      <c r="B121">
        <v>150</v>
      </c>
      <c r="C121">
        <v>3500000</v>
      </c>
      <c r="D121">
        <v>0.00068094</v>
      </c>
      <c r="E121" s="5">
        <v>5</v>
      </c>
      <c r="F121">
        <v>0.19447</v>
      </c>
      <c r="G121" s="5">
        <v>8</v>
      </c>
    </row>
    <row r="122">
      <c r="A122" s="2">
        <v>117</v>
      </c>
      <c r="B122">
        <v>160</v>
      </c>
      <c r="C122">
        <v>3500000</v>
      </c>
      <c r="D122">
        <v>0.00055062000000000004</v>
      </c>
      <c r="E122" s="5">
        <v>5</v>
      </c>
      <c r="F122">
        <v>0.18636</v>
      </c>
      <c r="G122" s="5">
        <v>8</v>
      </c>
    </row>
    <row r="123">
      <c r="A123" s="2">
        <v>118</v>
      </c>
      <c r="B123">
        <v>170</v>
      </c>
      <c r="C123">
        <v>3500000</v>
      </c>
      <c r="D123">
        <v>0.00045727000000000002</v>
      </c>
      <c r="E123" s="5">
        <v>5</v>
      </c>
      <c r="F123">
        <v>0.17795</v>
      </c>
      <c r="G123" s="5">
        <v>8</v>
      </c>
    </row>
    <row r="124">
      <c r="A124" s="2">
        <v>119</v>
      </c>
      <c r="B124">
        <v>180</v>
      </c>
      <c r="C124">
        <v>3500000</v>
      </c>
      <c r="D124">
        <v>0.00038759999999999999</v>
      </c>
      <c r="E124" s="5">
        <v>5</v>
      </c>
      <c r="F124">
        <v>0.16952999999999999</v>
      </c>
      <c r="G124" s="5">
        <v>8</v>
      </c>
    </row>
    <row r="125">
      <c r="A125" s="2">
        <v>120</v>
      </c>
      <c r="B125">
        <v>190</v>
      </c>
      <c r="C125">
        <v>3500000</v>
      </c>
      <c r="D125">
        <v>0.00033383000000000002</v>
      </c>
      <c r="E125" s="5">
        <v>5</v>
      </c>
      <c r="F125">
        <v>0.16128999999999999</v>
      </c>
      <c r="G125" s="5">
        <v>8</v>
      </c>
    </row>
    <row r="126">
      <c r="A126" s="2">
        <v>121</v>
      </c>
      <c r="B126">
        <v>200</v>
      </c>
      <c r="C126">
        <v>3500000</v>
      </c>
      <c r="D126">
        <v>0.00029116</v>
      </c>
      <c r="E126" s="5">
        <v>5</v>
      </c>
      <c r="F126">
        <v>0.15334</v>
      </c>
      <c r="G126" s="5">
        <v>8</v>
      </c>
    </row>
    <row r="127">
      <c r="A127" s="2">
        <v>122</v>
      </c>
      <c r="B127">
        <v>210</v>
      </c>
      <c r="C127">
        <v>3500000</v>
      </c>
      <c r="D127">
        <v>0.00025651</v>
      </c>
      <c r="E127" s="5">
        <v>5</v>
      </c>
      <c r="F127">
        <v>0.14574999999999999</v>
      </c>
      <c r="G127" s="5">
        <v>8</v>
      </c>
    </row>
    <row r="128">
      <c r="A128" s="2">
        <v>123</v>
      </c>
      <c r="B128">
        <v>220</v>
      </c>
      <c r="C128">
        <v>3500000</v>
      </c>
      <c r="D128">
        <v>0.00022780000000000001</v>
      </c>
      <c r="E128" s="5">
        <v>5</v>
      </c>
      <c r="F128">
        <v>0.13855000000000001</v>
      </c>
      <c r="G128" s="5">
        <v>8</v>
      </c>
    </row>
    <row r="129">
      <c r="A129" s="2">
        <v>124</v>
      </c>
      <c r="B129">
        <v>230</v>
      </c>
      <c r="C129">
        <v>3500000</v>
      </c>
      <c r="D129">
        <v>0.00020359999999999999</v>
      </c>
      <c r="E129" s="5">
        <v>5</v>
      </c>
      <c r="F129">
        <v>0.13175000000000001</v>
      </c>
      <c r="G129" s="5">
        <v>8</v>
      </c>
    </row>
    <row r="130">
      <c r="A130" s="2">
        <v>125</v>
      </c>
      <c r="B130">
        <v>240</v>
      </c>
      <c r="C130">
        <v>3500000</v>
      </c>
      <c r="D130">
        <v>0.00018288000000000001</v>
      </c>
      <c r="E130" s="5">
        <v>5</v>
      </c>
      <c r="F130">
        <v>0.12534000000000001</v>
      </c>
      <c r="G130" s="5">
        <v>8</v>
      </c>
    </row>
    <row r="131">
      <c r="A131" s="2">
        <v>126</v>
      </c>
      <c r="B131">
        <v>250</v>
      </c>
      <c r="C131">
        <v>3500000</v>
      </c>
      <c r="D131">
        <v>0.00016490999999999999</v>
      </c>
      <c r="E131" s="5">
        <v>5</v>
      </c>
      <c r="F131">
        <v>0.11928999999999999</v>
      </c>
      <c r="G131" s="5">
        <v>8</v>
      </c>
    </row>
    <row r="132">
      <c r="A132" s="2">
        <v>127</v>
      </c>
      <c r="B132">
        <v>260</v>
      </c>
      <c r="C132">
        <v>3500000</v>
      </c>
      <c r="D132">
        <v>0.00014912000000000001</v>
      </c>
      <c r="E132" s="5">
        <v>5</v>
      </c>
      <c r="F132">
        <v>0.11359</v>
      </c>
      <c r="G132" s="5">
        <v>8</v>
      </c>
    </row>
    <row r="133">
      <c r="A133" s="2">
        <v>128</v>
      </c>
      <c r="B133">
        <v>270</v>
      </c>
      <c r="C133">
        <v>3500000</v>
      </c>
      <c r="D133">
        <v>0.00013507999999999999</v>
      </c>
      <c r="E133" s="5">
        <v>5</v>
      </c>
      <c r="F133">
        <v>0.10821</v>
      </c>
      <c r="G133" s="5">
        <v>8</v>
      </c>
    </row>
    <row r="134">
      <c r="A134" s="2">
        <v>129</v>
      </c>
      <c r="B134">
        <v>280</v>
      </c>
      <c r="C134">
        <v>3500000</v>
      </c>
      <c r="D134">
        <v>0.00012245999999999999</v>
      </c>
      <c r="E134" s="5">
        <v>5</v>
      </c>
      <c r="F134">
        <v>0.10309</v>
      </c>
      <c r="G134" s="5">
        <v>8</v>
      </c>
    </row>
    <row r="135">
      <c r="A135" s="2">
        <v>130</v>
      </c>
      <c r="B135">
        <v>290</v>
      </c>
      <c r="C135">
        <v>3500000</v>
      </c>
      <c r="D135">
        <v>0.00011099000000000001</v>
      </c>
      <c r="E135" s="5">
        <v>5</v>
      </c>
      <c r="F135">
        <v>0.098220000000000002</v>
      </c>
      <c r="G135" s="5">
        <v>8</v>
      </c>
    </row>
    <row r="136">
      <c r="A136" s="2">
        <v>131</v>
      </c>
      <c r="B136">
        <v>300</v>
      </c>
      <c r="C136">
        <v>3500000</v>
      </c>
      <c r="D136">
        <v>0.00010043999999999999</v>
      </c>
      <c r="E136" s="5">
        <v>5</v>
      </c>
      <c r="F136">
        <v>0.093530000000000002</v>
      </c>
      <c r="G136" s="5">
        <v>8</v>
      </c>
    </row>
    <row r="137">
      <c r="A137" s="2">
        <v>132</v>
      </c>
      <c r="B137">
        <v>320</v>
      </c>
      <c r="C137">
        <v>3500000</v>
      </c>
      <c r="D137">
        <v>8.1299999999999997e-05</v>
      </c>
      <c r="E137" s="5">
        <v>5</v>
      </c>
      <c r="F137">
        <v>0.084470000000000003</v>
      </c>
      <c r="G137" s="5">
        <v>8</v>
      </c>
    </row>
    <row r="138">
      <c r="A138" s="2">
        <v>133</v>
      </c>
      <c r="B138">
        <v>340</v>
      </c>
      <c r="C138">
        <v>3500000</v>
      </c>
      <c r="D138">
        <v>6.3319999999999997e-05</v>
      </c>
      <c r="E138" s="5">
        <v>5</v>
      </c>
      <c r="F138">
        <v>0.075329999999999994</v>
      </c>
      <c r="G138" s="5">
        <v>8</v>
      </c>
    </row>
    <row r="139">
      <c r="A139" s="2">
        <v>134</v>
      </c>
      <c r="B139">
        <v>140</v>
      </c>
      <c r="C139">
        <v>4000000</v>
      </c>
      <c r="D139">
        <v>0.00087690999999999995</v>
      </c>
      <c r="E139" s="5">
        <v>5</v>
      </c>
      <c r="F139">
        <v>0.20238999999999999</v>
      </c>
      <c r="G139" s="5">
        <v>8</v>
      </c>
    </row>
    <row r="140">
      <c r="A140" s="2">
        <v>135</v>
      </c>
      <c r="B140">
        <v>150</v>
      </c>
      <c r="C140">
        <v>4000000</v>
      </c>
      <c r="D140">
        <v>0.00068435999999999996</v>
      </c>
      <c r="E140" s="5">
        <v>5</v>
      </c>
      <c r="F140">
        <v>0.19497999999999999</v>
      </c>
      <c r="G140" s="5">
        <v>8</v>
      </c>
    </row>
    <row r="141">
      <c r="A141" s="2">
        <v>136</v>
      </c>
      <c r="B141">
        <v>160</v>
      </c>
      <c r="C141">
        <v>4000000</v>
      </c>
      <c r="D141">
        <v>0.00055334999999999998</v>
      </c>
      <c r="E141" s="5">
        <v>5</v>
      </c>
      <c r="F141">
        <v>0.18684999999999999</v>
      </c>
      <c r="G141" s="5">
        <v>8</v>
      </c>
    </row>
    <row r="142">
      <c r="A142" s="2">
        <v>137</v>
      </c>
      <c r="B142">
        <v>170</v>
      </c>
      <c r="C142">
        <v>4000000</v>
      </c>
      <c r="D142">
        <v>0.00045952999999999999</v>
      </c>
      <c r="E142" s="5">
        <v>5</v>
      </c>
      <c r="F142">
        <v>0.17841000000000001</v>
      </c>
      <c r="G142" s="5">
        <v>8</v>
      </c>
    </row>
    <row r="143">
      <c r="A143" s="2">
        <v>138</v>
      </c>
      <c r="B143">
        <v>180</v>
      </c>
      <c r="C143">
        <v>4000000</v>
      </c>
      <c r="D143">
        <v>0.00038952000000000002</v>
      </c>
      <c r="E143" s="5">
        <v>5</v>
      </c>
      <c r="F143">
        <v>0.16997999999999999</v>
      </c>
      <c r="G143" s="5">
        <v>8</v>
      </c>
    </row>
    <row r="144">
      <c r="A144" s="2">
        <v>139</v>
      </c>
      <c r="B144">
        <v>190</v>
      </c>
      <c r="C144">
        <v>4000000</v>
      </c>
      <c r="D144">
        <v>0.00033550000000000002</v>
      </c>
      <c r="E144" s="5">
        <v>5</v>
      </c>
      <c r="F144">
        <v>0.16172</v>
      </c>
      <c r="G144" s="5">
        <v>8</v>
      </c>
    </row>
    <row r="145">
      <c r="A145" s="2">
        <v>140</v>
      </c>
      <c r="B145">
        <v>200</v>
      </c>
      <c r="C145">
        <v>4000000</v>
      </c>
      <c r="D145">
        <v>0.00029264999999999998</v>
      </c>
      <c r="E145" s="5">
        <v>5</v>
      </c>
      <c r="F145">
        <v>0.15376000000000001</v>
      </c>
      <c r="G145" s="5">
        <v>8</v>
      </c>
    </row>
    <row r="146">
      <c r="A146" s="2">
        <v>141</v>
      </c>
      <c r="B146">
        <v>210</v>
      </c>
      <c r="C146">
        <v>4000000</v>
      </c>
      <c r="D146">
        <v>0.00025785000000000001</v>
      </c>
      <c r="E146" s="5">
        <v>5</v>
      </c>
      <c r="F146">
        <v>0.14616999999999999</v>
      </c>
      <c r="G146" s="5">
        <v>8</v>
      </c>
    </row>
    <row r="147">
      <c r="A147" s="2">
        <v>142</v>
      </c>
      <c r="B147">
        <v>220</v>
      </c>
      <c r="C147">
        <v>4000000</v>
      </c>
      <c r="D147">
        <v>0.00022902999999999999</v>
      </c>
      <c r="E147" s="5">
        <v>5</v>
      </c>
      <c r="F147">
        <v>0.13896</v>
      </c>
      <c r="G147" s="5">
        <v>8</v>
      </c>
    </row>
    <row r="148">
      <c r="A148" s="2">
        <v>143</v>
      </c>
      <c r="B148">
        <v>230</v>
      </c>
      <c r="C148">
        <v>4000000</v>
      </c>
      <c r="D148">
        <v>0.00020473999999999999</v>
      </c>
      <c r="E148" s="5">
        <v>5</v>
      </c>
      <c r="F148">
        <v>0.13216</v>
      </c>
      <c r="G148" s="5">
        <v>8</v>
      </c>
    </row>
    <row r="149">
      <c r="A149" s="2">
        <v>144</v>
      </c>
      <c r="B149">
        <v>240</v>
      </c>
      <c r="C149">
        <v>4000000</v>
      </c>
      <c r="D149">
        <v>0.00018395999999999999</v>
      </c>
      <c r="E149" s="5">
        <v>5</v>
      </c>
      <c r="F149">
        <v>0.12573999999999999</v>
      </c>
      <c r="G149" s="5">
        <v>8</v>
      </c>
    </row>
    <row r="150">
      <c r="A150" s="2">
        <v>145</v>
      </c>
      <c r="B150">
        <v>250</v>
      </c>
      <c r="C150">
        <v>4000000</v>
      </c>
      <c r="D150">
        <v>0.00016594</v>
      </c>
      <c r="E150" s="5">
        <v>5</v>
      </c>
      <c r="F150">
        <v>0.1197</v>
      </c>
      <c r="G150" s="5">
        <v>8</v>
      </c>
    </row>
    <row r="151">
      <c r="A151" s="2">
        <v>146</v>
      </c>
      <c r="B151">
        <v>260</v>
      </c>
      <c r="C151">
        <v>4000000</v>
      </c>
      <c r="D151">
        <v>0.00015011000000000001</v>
      </c>
      <c r="E151" s="5">
        <v>5</v>
      </c>
      <c r="F151">
        <v>0.11401</v>
      </c>
      <c r="G151" s="5">
        <v>8</v>
      </c>
    </row>
    <row r="152">
      <c r="A152" s="2">
        <v>147</v>
      </c>
      <c r="B152">
        <v>270</v>
      </c>
      <c r="C152">
        <v>4000000</v>
      </c>
      <c r="D152">
        <v>0.00013605</v>
      </c>
      <c r="E152" s="5">
        <v>5</v>
      </c>
      <c r="F152">
        <v>0.10864</v>
      </c>
      <c r="G152" s="5">
        <v>8</v>
      </c>
    </row>
    <row r="153">
      <c r="A153" s="2">
        <v>148</v>
      </c>
      <c r="B153">
        <v>280</v>
      </c>
      <c r="C153">
        <v>4000000</v>
      </c>
      <c r="D153">
        <v>0.00012343</v>
      </c>
      <c r="E153" s="5">
        <v>5</v>
      </c>
      <c r="F153">
        <v>0.10353999999999999</v>
      </c>
      <c r="G153" s="5">
        <v>8</v>
      </c>
    </row>
    <row r="154">
      <c r="A154" s="2">
        <v>149</v>
      </c>
      <c r="B154">
        <v>290</v>
      </c>
      <c r="C154">
        <v>4000000</v>
      </c>
      <c r="D154">
        <v>0.00011196000000000001</v>
      </c>
      <c r="E154" s="5">
        <v>5</v>
      </c>
      <c r="F154">
        <v>0.09869</v>
      </c>
      <c r="G154" s="5">
        <v>8</v>
      </c>
    </row>
    <row r="155">
      <c r="A155" s="2">
        <v>150</v>
      </c>
      <c r="B155">
        <v>300</v>
      </c>
      <c r="C155">
        <v>4000000</v>
      </c>
      <c r="D155">
        <v>0.00010144</v>
      </c>
      <c r="E155" s="5">
        <v>5</v>
      </c>
      <c r="F155">
        <v>0.094030000000000002</v>
      </c>
      <c r="G155" s="5">
        <v>8</v>
      </c>
    </row>
    <row r="156">
      <c r="A156" s="2">
        <v>151</v>
      </c>
      <c r="B156">
        <v>320</v>
      </c>
      <c r="C156">
        <v>4000000</v>
      </c>
      <c r="D156">
        <v>8.242e-05</v>
      </c>
      <c r="E156" s="5">
        <v>5</v>
      </c>
      <c r="F156">
        <v>0.085089999999999999</v>
      </c>
      <c r="G156" s="5">
        <v>8</v>
      </c>
    </row>
    <row r="157">
      <c r="A157" s="2">
        <v>152</v>
      </c>
      <c r="B157">
        <v>340</v>
      </c>
      <c r="C157">
        <v>4000000</v>
      </c>
      <c r="D157">
        <v>6.4809999999999998e-05</v>
      </c>
      <c r="E157" s="5">
        <v>5</v>
      </c>
      <c r="F157">
        <v>0.076200000000000004</v>
      </c>
      <c r="G157" s="5">
        <v>8</v>
      </c>
    </row>
    <row r="158">
      <c r="A158" s="2">
        <v>153</v>
      </c>
      <c r="B158">
        <v>360</v>
      </c>
      <c r="C158">
        <v>4000000</v>
      </c>
      <c r="D158">
        <v>4.5269999999999999e-05</v>
      </c>
      <c r="E158" s="5">
        <v>5</v>
      </c>
      <c r="F158">
        <v>0.067489999999999994</v>
      </c>
      <c r="G158" s="5">
        <v>8</v>
      </c>
    </row>
    <row r="159">
      <c r="A159" s="2">
        <v>154</v>
      </c>
      <c r="B159">
        <v>140</v>
      </c>
      <c r="C159">
        <v>5000000</v>
      </c>
      <c r="D159">
        <v>0.00088586000000000003</v>
      </c>
      <c r="E159" s="5">
        <v>5</v>
      </c>
      <c r="F159">
        <v>0.20346</v>
      </c>
      <c r="G159" s="5">
        <v>8</v>
      </c>
    </row>
    <row r="160">
      <c r="A160" s="2">
        <v>155</v>
      </c>
      <c r="B160">
        <v>150</v>
      </c>
      <c r="C160">
        <v>5000000</v>
      </c>
      <c r="D160">
        <v>0.0006912</v>
      </c>
      <c r="E160" s="5">
        <v>5</v>
      </c>
      <c r="F160">
        <v>0.19600000000000001</v>
      </c>
      <c r="G160" s="5">
        <v>8</v>
      </c>
    </row>
    <row r="161">
      <c r="A161" s="2">
        <v>156</v>
      </c>
      <c r="B161">
        <v>160</v>
      </c>
      <c r="C161">
        <v>5000000</v>
      </c>
      <c r="D161">
        <v>0.00055882000000000002</v>
      </c>
      <c r="E161" s="5">
        <v>5</v>
      </c>
      <c r="F161">
        <v>0.18781999999999999</v>
      </c>
      <c r="G161" s="5">
        <v>8</v>
      </c>
    </row>
    <row r="162">
      <c r="A162" s="2">
        <v>157</v>
      </c>
      <c r="B162">
        <v>170</v>
      </c>
      <c r="C162">
        <v>5000000</v>
      </c>
      <c r="D162">
        <v>0.00046404999999999998</v>
      </c>
      <c r="E162" s="5">
        <v>5</v>
      </c>
      <c r="F162">
        <v>0.17935000000000001</v>
      </c>
      <c r="G162" s="5">
        <v>8</v>
      </c>
    </row>
    <row r="163">
      <c r="A163" s="2">
        <v>158</v>
      </c>
      <c r="B163">
        <v>180</v>
      </c>
      <c r="C163">
        <v>5000000</v>
      </c>
      <c r="D163">
        <v>0.00039335999999999999</v>
      </c>
      <c r="E163" s="5">
        <v>5</v>
      </c>
      <c r="F163">
        <v>0.17088</v>
      </c>
      <c r="G163" s="5">
        <v>8</v>
      </c>
    </row>
    <row r="164">
      <c r="A164" s="2">
        <v>159</v>
      </c>
      <c r="B164">
        <v>190</v>
      </c>
      <c r="C164">
        <v>5000000</v>
      </c>
      <c r="D164">
        <v>0.00033883999999999997</v>
      </c>
      <c r="E164" s="5">
        <v>5</v>
      </c>
      <c r="F164">
        <v>0.16259000000000001</v>
      </c>
      <c r="G164" s="5">
        <v>8</v>
      </c>
    </row>
    <row r="165">
      <c r="A165" s="2">
        <v>160</v>
      </c>
      <c r="B165">
        <v>200</v>
      </c>
      <c r="C165">
        <v>5000000</v>
      </c>
      <c r="D165">
        <v>0.00029561000000000002</v>
      </c>
      <c r="E165" s="5">
        <v>5</v>
      </c>
      <c r="F165">
        <v>0.15461</v>
      </c>
      <c r="G165" s="5">
        <v>8</v>
      </c>
    </row>
    <row r="166">
      <c r="A166" s="2">
        <v>161</v>
      </c>
      <c r="B166">
        <v>210</v>
      </c>
      <c r="C166">
        <v>5000000</v>
      </c>
      <c r="D166">
        <v>0.00026052999999999997</v>
      </c>
      <c r="E166" s="5">
        <v>5</v>
      </c>
      <c r="F166">
        <v>0.14699000000000001</v>
      </c>
      <c r="G166" s="5">
        <v>8</v>
      </c>
    </row>
    <row r="167">
      <c r="A167" s="2">
        <v>162</v>
      </c>
      <c r="B167">
        <v>220</v>
      </c>
      <c r="C167">
        <v>5000000</v>
      </c>
      <c r="D167">
        <v>0.00023148</v>
      </c>
      <c r="E167" s="5">
        <v>5</v>
      </c>
      <c r="F167">
        <v>0.13977999999999999</v>
      </c>
      <c r="G167" s="5">
        <v>8</v>
      </c>
    </row>
    <row r="168">
      <c r="A168" s="2">
        <v>163</v>
      </c>
      <c r="B168">
        <v>230</v>
      </c>
      <c r="C168">
        <v>5000000</v>
      </c>
      <c r="D168">
        <v>0.00020702000000000001</v>
      </c>
      <c r="E168" s="5">
        <v>5</v>
      </c>
      <c r="F168">
        <v>0.13297</v>
      </c>
      <c r="G168" s="5">
        <v>8</v>
      </c>
    </row>
    <row r="169">
      <c r="A169" s="2">
        <v>164</v>
      </c>
      <c r="B169">
        <v>240</v>
      </c>
      <c r="C169">
        <v>5000000</v>
      </c>
      <c r="D169">
        <v>0.0001861</v>
      </c>
      <c r="E169" s="5">
        <v>5</v>
      </c>
      <c r="F169">
        <v>0.12655</v>
      </c>
      <c r="G169" s="5">
        <v>8</v>
      </c>
    </row>
    <row r="170">
      <c r="A170" s="2">
        <v>165</v>
      </c>
      <c r="B170">
        <v>250</v>
      </c>
      <c r="C170">
        <v>5000000</v>
      </c>
      <c r="D170">
        <v>0.00016798</v>
      </c>
      <c r="E170" s="5">
        <v>5</v>
      </c>
      <c r="F170">
        <v>0.12052</v>
      </c>
      <c r="G170" s="5">
        <v>8</v>
      </c>
    </row>
    <row r="171">
      <c r="A171" s="2">
        <v>166</v>
      </c>
      <c r="B171">
        <v>260</v>
      </c>
      <c r="C171">
        <v>5000000</v>
      </c>
      <c r="D171">
        <v>0.00015207999999999999</v>
      </c>
      <c r="E171" s="5">
        <v>5</v>
      </c>
      <c r="F171">
        <v>0.11484</v>
      </c>
      <c r="G171" s="5">
        <v>8</v>
      </c>
    </row>
    <row r="172">
      <c r="A172" s="2">
        <v>167</v>
      </c>
      <c r="B172">
        <v>270</v>
      </c>
      <c r="C172">
        <v>5000000</v>
      </c>
      <c r="D172">
        <v>0.00013798</v>
      </c>
      <c r="E172" s="5">
        <v>5</v>
      </c>
      <c r="F172">
        <v>0.10947999999999999</v>
      </c>
      <c r="G172" s="5">
        <v>8</v>
      </c>
    </row>
    <row r="173">
      <c r="A173" s="2">
        <v>168</v>
      </c>
      <c r="B173">
        <v>280</v>
      </c>
      <c r="C173">
        <v>5000000</v>
      </c>
      <c r="D173">
        <v>0.00012532999999999999</v>
      </c>
      <c r="E173" s="5">
        <v>5</v>
      </c>
      <c r="F173">
        <v>0.10442</v>
      </c>
      <c r="G173" s="5">
        <v>8</v>
      </c>
    </row>
    <row r="174">
      <c r="A174" s="2">
        <v>169</v>
      </c>
      <c r="B174">
        <v>290</v>
      </c>
      <c r="C174">
        <v>5000000</v>
      </c>
      <c r="D174">
        <v>0.00011388</v>
      </c>
      <c r="E174" s="5">
        <v>5</v>
      </c>
      <c r="F174">
        <v>0.099610000000000004</v>
      </c>
      <c r="G174" s="5">
        <v>8</v>
      </c>
    </row>
    <row r="175">
      <c r="A175" s="2">
        <v>170</v>
      </c>
      <c r="B175">
        <v>300</v>
      </c>
      <c r="C175">
        <v>5000000</v>
      </c>
      <c r="D175">
        <v>0.00010339</v>
      </c>
      <c r="E175" s="5">
        <v>5</v>
      </c>
      <c r="F175">
        <v>0.095009999999999997</v>
      </c>
      <c r="G175" s="5">
        <v>8</v>
      </c>
    </row>
    <row r="176">
      <c r="A176" s="2">
        <v>171</v>
      </c>
      <c r="B176">
        <v>320</v>
      </c>
      <c r="C176">
        <v>5000000</v>
      </c>
      <c r="D176">
        <v>8.4590000000000002e-05</v>
      </c>
      <c r="E176" s="5">
        <v>5</v>
      </c>
      <c r="F176">
        <v>0.086279999999999996</v>
      </c>
      <c r="G176" s="5">
        <v>8</v>
      </c>
    </row>
    <row r="177">
      <c r="A177" s="2">
        <v>172</v>
      </c>
      <c r="B177">
        <v>340</v>
      </c>
      <c r="C177">
        <v>5000000</v>
      </c>
      <c r="D177">
        <v>6.7550000000000002e-05</v>
      </c>
      <c r="E177" s="5">
        <v>5</v>
      </c>
      <c r="F177">
        <v>0.077799999999999994</v>
      </c>
      <c r="G177" s="5">
        <v>8</v>
      </c>
    </row>
    <row r="178">
      <c r="A178" s="2">
        <v>173</v>
      </c>
      <c r="B178">
        <v>360</v>
      </c>
      <c r="C178">
        <v>5000000</v>
      </c>
      <c r="D178">
        <v>5.0389999999999997e-05</v>
      </c>
      <c r="E178" s="5">
        <v>5</v>
      </c>
      <c r="F178">
        <v>0.069690000000000002</v>
      </c>
      <c r="G178" s="5">
        <v>8</v>
      </c>
    </row>
    <row r="179">
      <c r="A179" s="2">
        <v>174</v>
      </c>
      <c r="B179">
        <v>140</v>
      </c>
      <c r="C179">
        <v>6000000</v>
      </c>
      <c r="D179">
        <v>0.00089483</v>
      </c>
      <c r="E179" s="5">
        <v>5</v>
      </c>
      <c r="F179">
        <v>0.20452000000000001</v>
      </c>
      <c r="G179" s="5">
        <v>8</v>
      </c>
    </row>
    <row r="180">
      <c r="A180" s="2">
        <v>175</v>
      </c>
      <c r="B180">
        <v>150</v>
      </c>
      <c r="C180">
        <v>6000000</v>
      </c>
      <c r="D180">
        <v>0.00069806000000000002</v>
      </c>
      <c r="E180" s="5">
        <v>5</v>
      </c>
      <c r="F180">
        <v>0.19700999999999999</v>
      </c>
      <c r="G180" s="5">
        <v>8</v>
      </c>
    </row>
    <row r="181">
      <c r="A181" s="2">
        <v>176</v>
      </c>
      <c r="B181">
        <v>160</v>
      </c>
      <c r="C181">
        <v>6000000</v>
      </c>
      <c r="D181">
        <v>0.00056428999999999995</v>
      </c>
      <c r="E181" s="5">
        <v>5</v>
      </c>
      <c r="F181">
        <v>0.18879000000000001</v>
      </c>
      <c r="G181" s="5">
        <v>8</v>
      </c>
    </row>
    <row r="182">
      <c r="A182" s="2">
        <v>177</v>
      </c>
      <c r="B182">
        <v>170</v>
      </c>
      <c r="C182">
        <v>6000000</v>
      </c>
      <c r="D182">
        <v>0.00046856000000000003</v>
      </c>
      <c r="E182" s="5">
        <v>5</v>
      </c>
      <c r="F182">
        <v>0.18027000000000001</v>
      </c>
      <c r="G182" s="5">
        <v>8</v>
      </c>
    </row>
    <row r="183">
      <c r="A183" s="2">
        <v>178</v>
      </c>
      <c r="B183">
        <v>180</v>
      </c>
      <c r="C183">
        <v>6000000</v>
      </c>
      <c r="D183">
        <v>0.00039720000000000001</v>
      </c>
      <c r="E183" s="5">
        <v>5</v>
      </c>
      <c r="F183">
        <v>0.17177000000000001</v>
      </c>
      <c r="G183" s="5">
        <v>8</v>
      </c>
    </row>
    <row r="184">
      <c r="A184" s="2">
        <v>179</v>
      </c>
      <c r="B184">
        <v>190</v>
      </c>
      <c r="C184">
        <v>6000000</v>
      </c>
      <c r="D184">
        <v>0.00034216999999999999</v>
      </c>
      <c r="E184" s="5">
        <v>5</v>
      </c>
      <c r="F184">
        <v>0.16345999999999999</v>
      </c>
      <c r="G184" s="5">
        <v>8</v>
      </c>
    </row>
    <row r="185">
      <c r="A185" s="2">
        <v>180</v>
      </c>
      <c r="B185">
        <v>200</v>
      </c>
      <c r="C185">
        <v>6000000</v>
      </c>
      <c r="D185">
        <v>0.00029857000000000001</v>
      </c>
      <c r="E185" s="5">
        <v>5</v>
      </c>
      <c r="F185">
        <v>0.15545</v>
      </c>
      <c r="G185" s="5">
        <v>8</v>
      </c>
    </row>
    <row r="186">
      <c r="A186" s="2">
        <v>181</v>
      </c>
      <c r="B186">
        <v>210</v>
      </c>
      <c r="C186">
        <v>6000000</v>
      </c>
      <c r="D186">
        <v>0.00026319000000000001</v>
      </c>
      <c r="E186" s="5">
        <v>5</v>
      </c>
      <c r="F186">
        <v>0.14782000000000001</v>
      </c>
      <c r="G186" s="5">
        <v>8</v>
      </c>
    </row>
    <row r="187">
      <c r="A187" s="2">
        <v>182</v>
      </c>
      <c r="B187">
        <v>220</v>
      </c>
      <c r="C187">
        <v>6000000</v>
      </c>
      <c r="D187">
        <v>0.00023392000000000001</v>
      </c>
      <c r="E187" s="5">
        <v>5</v>
      </c>
      <c r="F187">
        <v>0.14058000000000001</v>
      </c>
      <c r="G187" s="5">
        <v>8</v>
      </c>
    </row>
    <row r="188">
      <c r="A188" s="2">
        <v>183</v>
      </c>
      <c r="B188">
        <v>230</v>
      </c>
      <c r="C188">
        <v>6000000</v>
      </c>
      <c r="D188">
        <v>0.00020928</v>
      </c>
      <c r="E188" s="5">
        <v>5</v>
      </c>
      <c r="F188">
        <v>0.13375999999999999</v>
      </c>
      <c r="G188" s="5">
        <v>8</v>
      </c>
    </row>
    <row r="189">
      <c r="A189" s="2">
        <v>184</v>
      </c>
      <c r="B189">
        <v>240</v>
      </c>
      <c r="C189">
        <v>6000000</v>
      </c>
      <c r="D189">
        <v>0.00018823000000000001</v>
      </c>
      <c r="E189" s="5">
        <v>5</v>
      </c>
      <c r="F189">
        <v>0.12734999999999999</v>
      </c>
      <c r="G189" s="5">
        <v>8</v>
      </c>
    </row>
    <row r="190">
      <c r="A190" s="2">
        <v>185</v>
      </c>
      <c r="B190">
        <v>250</v>
      </c>
      <c r="C190">
        <v>6000000</v>
      </c>
      <c r="D190">
        <v>0.00017000000000000001</v>
      </c>
      <c r="E190" s="5">
        <v>5</v>
      </c>
      <c r="F190">
        <v>0.12132</v>
      </c>
      <c r="G190" s="5">
        <v>8</v>
      </c>
    </row>
    <row r="191">
      <c r="A191" s="2">
        <v>186</v>
      </c>
      <c r="B191">
        <v>260</v>
      </c>
      <c r="C191">
        <v>6000000</v>
      </c>
      <c r="D191">
        <v>0.00015402999999999999</v>
      </c>
      <c r="E191" s="5">
        <v>5</v>
      </c>
      <c r="F191">
        <v>0.11565</v>
      </c>
      <c r="G191" s="5">
        <v>8</v>
      </c>
    </row>
    <row r="192">
      <c r="A192" s="2">
        <v>187</v>
      </c>
      <c r="B192">
        <v>270</v>
      </c>
      <c r="C192">
        <v>6000000</v>
      </c>
      <c r="D192">
        <v>0.00013988</v>
      </c>
      <c r="E192" s="5">
        <v>5</v>
      </c>
      <c r="F192">
        <v>0.11031000000000001</v>
      </c>
      <c r="G192" s="5">
        <v>8</v>
      </c>
    </row>
    <row r="193">
      <c r="A193" s="2">
        <v>188</v>
      </c>
      <c r="B193">
        <v>280</v>
      </c>
      <c r="C193">
        <v>6000000</v>
      </c>
      <c r="D193">
        <v>0.00012721</v>
      </c>
      <c r="E193" s="5">
        <v>5</v>
      </c>
      <c r="F193">
        <v>0.10527</v>
      </c>
      <c r="G193" s="5">
        <v>8</v>
      </c>
    </row>
    <row r="194">
      <c r="A194" s="2">
        <v>189</v>
      </c>
      <c r="B194">
        <v>290</v>
      </c>
      <c r="C194">
        <v>6000000</v>
      </c>
      <c r="D194">
        <v>0.00011574999999999999</v>
      </c>
      <c r="E194" s="5">
        <v>5</v>
      </c>
      <c r="F194">
        <v>0.10050000000000001</v>
      </c>
      <c r="G194" s="5">
        <v>8</v>
      </c>
    </row>
    <row r="195">
      <c r="A195" s="2">
        <v>190</v>
      </c>
      <c r="B195">
        <v>300</v>
      </c>
      <c r="C195">
        <v>6000000</v>
      </c>
      <c r="D195">
        <v>0.00010529</v>
      </c>
      <c r="E195" s="5">
        <v>5</v>
      </c>
      <c r="F195">
        <v>0.095960000000000004</v>
      </c>
      <c r="G195" s="5">
        <v>8</v>
      </c>
    </row>
    <row r="196">
      <c r="A196" s="2">
        <v>191</v>
      </c>
      <c r="B196">
        <v>320</v>
      </c>
      <c r="C196">
        <v>6000000</v>
      </c>
      <c r="D196">
        <v>8.6650000000000006e-05</v>
      </c>
      <c r="E196" s="5">
        <v>5</v>
      </c>
      <c r="F196">
        <v>0.087400000000000005</v>
      </c>
      <c r="G196" s="5">
        <v>8</v>
      </c>
    </row>
    <row r="197">
      <c r="A197" s="2">
        <v>192</v>
      </c>
      <c r="B197">
        <v>340</v>
      </c>
      <c r="C197">
        <v>6000000</v>
      </c>
      <c r="D197">
        <v>7.0049999999999995e-05</v>
      </c>
      <c r="E197" s="5">
        <v>5</v>
      </c>
      <c r="F197">
        <v>0.079240000000000005</v>
      </c>
      <c r="G197" s="5">
        <v>8</v>
      </c>
    </row>
    <row r="198">
      <c r="A198" s="2">
        <v>193</v>
      </c>
      <c r="B198">
        <v>360</v>
      </c>
      <c r="C198">
        <v>6000000</v>
      </c>
      <c r="D198">
        <v>5.4150000000000002e-05</v>
      </c>
      <c r="E198" s="5">
        <v>5</v>
      </c>
      <c r="F198">
        <v>0.071569999999999995</v>
      </c>
      <c r="G198" s="5">
        <v>8</v>
      </c>
    </row>
    <row r="199">
      <c r="A199" s="2">
        <v>194</v>
      </c>
      <c r="B199">
        <v>140</v>
      </c>
      <c r="C199">
        <v>7000000</v>
      </c>
      <c r="D199">
        <v>0.00090381999999999995</v>
      </c>
      <c r="E199" s="5">
        <v>5</v>
      </c>
      <c r="F199">
        <v>0.20558000000000001</v>
      </c>
      <c r="G199" s="5">
        <v>8</v>
      </c>
    </row>
    <row r="200">
      <c r="A200" s="2">
        <v>195</v>
      </c>
      <c r="B200">
        <v>150</v>
      </c>
      <c r="C200">
        <v>7000000</v>
      </c>
      <c r="D200">
        <v>0.00070492000000000005</v>
      </c>
      <c r="E200" s="5">
        <v>5</v>
      </c>
      <c r="F200">
        <v>0.19802</v>
      </c>
      <c r="G200" s="5">
        <v>8</v>
      </c>
    </row>
    <row r="201">
      <c r="A201" s="2">
        <v>196</v>
      </c>
      <c r="B201">
        <v>160</v>
      </c>
      <c r="C201">
        <v>7000000</v>
      </c>
      <c r="D201">
        <v>0.00056975999999999999</v>
      </c>
      <c r="E201" s="5">
        <v>5</v>
      </c>
      <c r="F201">
        <v>0.18975</v>
      </c>
      <c r="G201" s="5">
        <v>8</v>
      </c>
    </row>
    <row r="202">
      <c r="A202" s="2">
        <v>197</v>
      </c>
      <c r="B202">
        <v>170</v>
      </c>
      <c r="C202">
        <v>7000000</v>
      </c>
      <c r="D202">
        <v>0.00047308000000000002</v>
      </c>
      <c r="E202" s="5">
        <v>5</v>
      </c>
      <c r="F202">
        <v>0.1812</v>
      </c>
      <c r="G202" s="5">
        <v>8</v>
      </c>
    </row>
    <row r="203">
      <c r="A203" s="2">
        <v>198</v>
      </c>
      <c r="B203">
        <v>180</v>
      </c>
      <c r="C203">
        <v>7000000</v>
      </c>
      <c r="D203">
        <v>0.00040102999999999997</v>
      </c>
      <c r="E203" s="5">
        <v>5</v>
      </c>
      <c r="F203">
        <v>0.17266000000000001</v>
      </c>
      <c r="G203" s="5">
        <v>8</v>
      </c>
    </row>
    <row r="204">
      <c r="A204" s="2">
        <v>199</v>
      </c>
      <c r="B204">
        <v>190</v>
      </c>
      <c r="C204">
        <v>7000000</v>
      </c>
      <c r="D204">
        <v>0.0003455</v>
      </c>
      <c r="E204" s="5">
        <v>5</v>
      </c>
      <c r="F204">
        <v>0.16431000000000001</v>
      </c>
      <c r="G204" s="5">
        <v>8</v>
      </c>
    </row>
    <row r="205">
      <c r="A205" s="2">
        <v>200</v>
      </c>
      <c r="B205">
        <v>200</v>
      </c>
      <c r="C205">
        <v>7000000</v>
      </c>
      <c r="D205">
        <v>0.00030151000000000001</v>
      </c>
      <c r="E205" s="5">
        <v>5</v>
      </c>
      <c r="F205">
        <v>0.15628</v>
      </c>
      <c r="G205" s="5">
        <v>8</v>
      </c>
    </row>
    <row r="206">
      <c r="A206" s="2">
        <v>201</v>
      </c>
      <c r="B206">
        <v>210</v>
      </c>
      <c r="C206">
        <v>7000000</v>
      </c>
      <c r="D206">
        <v>0.00026583999999999999</v>
      </c>
      <c r="E206" s="5">
        <v>5</v>
      </c>
      <c r="F206">
        <v>0.14863000000000001</v>
      </c>
      <c r="G206" s="5">
        <v>8</v>
      </c>
    </row>
    <row r="207">
      <c r="A207" s="2">
        <v>202</v>
      </c>
      <c r="B207">
        <v>220</v>
      </c>
      <c r="C207">
        <v>7000000</v>
      </c>
      <c r="D207">
        <v>0.00023634</v>
      </c>
      <c r="E207" s="5">
        <v>5</v>
      </c>
      <c r="F207">
        <v>0.14138000000000001</v>
      </c>
      <c r="G207" s="5">
        <v>8</v>
      </c>
    </row>
    <row r="208">
      <c r="A208" s="2">
        <v>203</v>
      </c>
      <c r="B208">
        <v>230</v>
      </c>
      <c r="C208">
        <v>7000000</v>
      </c>
      <c r="D208">
        <v>0.00021153</v>
      </c>
      <c r="E208" s="5">
        <v>5</v>
      </c>
      <c r="F208">
        <v>0.13456000000000001</v>
      </c>
      <c r="G208" s="5">
        <v>8</v>
      </c>
    </row>
    <row r="209">
      <c r="A209" s="2">
        <v>204</v>
      </c>
      <c r="B209">
        <v>240</v>
      </c>
      <c r="C209">
        <v>7000000</v>
      </c>
      <c r="D209">
        <v>0.00019034</v>
      </c>
      <c r="E209" s="5">
        <v>5</v>
      </c>
      <c r="F209">
        <v>0.12814</v>
      </c>
      <c r="G209" s="5">
        <v>8</v>
      </c>
    </row>
    <row r="210">
      <c r="A210" s="2">
        <v>205</v>
      </c>
      <c r="B210">
        <v>250</v>
      </c>
      <c r="C210">
        <v>7000000</v>
      </c>
      <c r="D210">
        <v>0.00017201</v>
      </c>
      <c r="E210" s="5">
        <v>5</v>
      </c>
      <c r="F210">
        <v>0.12211</v>
      </c>
      <c r="G210" s="5">
        <v>8</v>
      </c>
    </row>
    <row r="211">
      <c r="A211" s="2">
        <v>206</v>
      </c>
      <c r="B211">
        <v>260</v>
      </c>
      <c r="C211">
        <v>7000000</v>
      </c>
      <c r="D211">
        <v>0.00015595999999999999</v>
      </c>
      <c r="E211" s="5">
        <v>5</v>
      </c>
      <c r="F211">
        <v>0.11644</v>
      </c>
      <c r="G211" s="5">
        <v>8</v>
      </c>
    </row>
    <row r="212">
      <c r="A212" s="2">
        <v>207</v>
      </c>
      <c r="B212">
        <v>270</v>
      </c>
      <c r="C212">
        <v>7000000</v>
      </c>
      <c r="D212">
        <v>0.00014175</v>
      </c>
      <c r="E212" s="5">
        <v>5</v>
      </c>
      <c r="F212">
        <v>0.11112</v>
      </c>
      <c r="G212" s="5">
        <v>8</v>
      </c>
    </row>
    <row r="213">
      <c r="A213" s="2">
        <v>208</v>
      </c>
      <c r="B213">
        <v>280</v>
      </c>
      <c r="C213">
        <v>7000000</v>
      </c>
      <c r="D213">
        <v>0.00012904999999999999</v>
      </c>
      <c r="E213" s="5">
        <v>5</v>
      </c>
      <c r="F213">
        <v>0.10611</v>
      </c>
      <c r="G213" s="5">
        <v>8</v>
      </c>
    </row>
    <row r="214">
      <c r="A214" s="2">
        <v>209</v>
      </c>
      <c r="B214">
        <v>290</v>
      </c>
      <c r="C214">
        <v>7000000</v>
      </c>
      <c r="D214">
        <v>0.00011759</v>
      </c>
      <c r="E214" s="5">
        <v>5</v>
      </c>
      <c r="F214">
        <v>0.10137</v>
      </c>
      <c r="G214" s="5">
        <v>8</v>
      </c>
    </row>
    <row r="215">
      <c r="A215" s="2">
        <v>210</v>
      </c>
      <c r="B215">
        <v>300</v>
      </c>
      <c r="C215">
        <v>7000000</v>
      </c>
      <c r="D215">
        <v>0.00010715</v>
      </c>
      <c r="E215" s="5">
        <v>5</v>
      </c>
      <c r="F215">
        <v>0.096879999999999994</v>
      </c>
      <c r="G215" s="5">
        <v>8</v>
      </c>
    </row>
    <row r="216">
      <c r="A216" s="2">
        <v>211</v>
      </c>
      <c r="B216">
        <v>320</v>
      </c>
      <c r="C216">
        <v>7000000</v>
      </c>
      <c r="D216">
        <v>8.8640000000000005e-05</v>
      </c>
      <c r="E216" s="5">
        <v>5</v>
      </c>
      <c r="F216">
        <v>0.088469999999999993</v>
      </c>
      <c r="G216" s="5">
        <v>8</v>
      </c>
    </row>
    <row r="217">
      <c r="A217" s="2">
        <v>212</v>
      </c>
      <c r="B217">
        <v>340</v>
      </c>
      <c r="C217">
        <v>7000000</v>
      </c>
      <c r="D217">
        <v>7.2360000000000005e-05</v>
      </c>
      <c r="E217" s="5">
        <v>5</v>
      </c>
      <c r="F217">
        <v>0.080579999999999999</v>
      </c>
      <c r="G217" s="5">
        <v>8</v>
      </c>
    </row>
    <row r="218">
      <c r="A218" s="2">
        <v>213</v>
      </c>
      <c r="B218">
        <v>360</v>
      </c>
      <c r="C218">
        <v>7000000</v>
      </c>
      <c r="D218">
        <v>5.7269999999999999e-05</v>
      </c>
      <c r="E218" s="5">
        <v>5</v>
      </c>
      <c r="F218">
        <v>0.07324</v>
      </c>
      <c r="G218" s="5">
        <v>8</v>
      </c>
    </row>
    <row r="219">
      <c r="A219" s="2">
        <v>214</v>
      </c>
      <c r="B219">
        <v>140</v>
      </c>
      <c r="C219">
        <v>8000000</v>
      </c>
      <c r="D219">
        <v>0.00091281999999999995</v>
      </c>
      <c r="E219" s="5">
        <v>5</v>
      </c>
      <c r="F219">
        <v>0.20663999999999999</v>
      </c>
      <c r="G219" s="5">
        <v>8</v>
      </c>
    </row>
    <row r="220">
      <c r="A220" s="2">
        <v>215</v>
      </c>
      <c r="B220">
        <v>150</v>
      </c>
      <c r="C220">
        <v>8000000</v>
      </c>
      <c r="D220">
        <v>0.00071179000000000001</v>
      </c>
      <c r="E220" s="5">
        <v>5</v>
      </c>
      <c r="F220">
        <v>0.19903000000000001</v>
      </c>
      <c r="G220" s="5">
        <v>8</v>
      </c>
    </row>
    <row r="221">
      <c r="A221" s="2">
        <v>216</v>
      </c>
      <c r="B221">
        <v>160</v>
      </c>
      <c r="C221">
        <v>8000000</v>
      </c>
      <c r="D221">
        <v>0.00057523000000000003</v>
      </c>
      <c r="E221" s="5">
        <v>5</v>
      </c>
      <c r="F221">
        <v>0.19070999999999999</v>
      </c>
      <c r="G221" s="5">
        <v>8</v>
      </c>
    </row>
    <row r="222">
      <c r="A222" s="2">
        <v>217</v>
      </c>
      <c r="B222">
        <v>170</v>
      </c>
      <c r="C222">
        <v>8000000</v>
      </c>
      <c r="D222">
        <v>0.00047760000000000001</v>
      </c>
      <c r="E222" s="5">
        <v>5</v>
      </c>
      <c r="F222">
        <v>0.18212</v>
      </c>
      <c r="G222" s="5">
        <v>8</v>
      </c>
    </row>
    <row r="223">
      <c r="A223" s="2">
        <v>218</v>
      </c>
      <c r="B223">
        <v>180</v>
      </c>
      <c r="C223">
        <v>8000000</v>
      </c>
      <c r="D223">
        <v>0.00040486</v>
      </c>
      <c r="E223" s="5">
        <v>5</v>
      </c>
      <c r="F223">
        <v>0.17354</v>
      </c>
      <c r="G223" s="5">
        <v>8</v>
      </c>
    </row>
    <row r="224">
      <c r="A224" s="2">
        <v>219</v>
      </c>
      <c r="B224">
        <v>190</v>
      </c>
      <c r="C224">
        <v>8000000</v>
      </c>
      <c r="D224">
        <v>0.00034882000000000001</v>
      </c>
      <c r="E224" s="5">
        <v>5</v>
      </c>
      <c r="F224">
        <v>0.16517000000000001</v>
      </c>
      <c r="G224" s="5">
        <v>8</v>
      </c>
    </row>
    <row r="225">
      <c r="A225" s="2">
        <v>220</v>
      </c>
      <c r="B225">
        <v>200</v>
      </c>
      <c r="C225">
        <v>8000000</v>
      </c>
      <c r="D225">
        <v>0.00030445</v>
      </c>
      <c r="E225" s="5">
        <v>5</v>
      </c>
      <c r="F225">
        <v>0.15711</v>
      </c>
      <c r="G225" s="5">
        <v>8</v>
      </c>
    </row>
    <row r="226">
      <c r="A226" s="2">
        <v>221</v>
      </c>
      <c r="B226">
        <v>210</v>
      </c>
      <c r="C226">
        <v>8000000</v>
      </c>
      <c r="D226">
        <v>0.00026849000000000003</v>
      </c>
      <c r="E226" s="5">
        <v>5</v>
      </c>
      <c r="F226">
        <v>0.14943999999999999</v>
      </c>
      <c r="G226" s="5">
        <v>8</v>
      </c>
    </row>
    <row r="227">
      <c r="A227" s="2">
        <v>222</v>
      </c>
      <c r="B227">
        <v>220</v>
      </c>
      <c r="C227">
        <v>8000000</v>
      </c>
      <c r="D227">
        <v>0.00023876</v>
      </c>
      <c r="E227" s="5">
        <v>5</v>
      </c>
      <c r="F227">
        <v>0.14218</v>
      </c>
      <c r="G227" s="5">
        <v>8</v>
      </c>
    </row>
    <row r="228">
      <c r="A228" s="2">
        <v>223</v>
      </c>
      <c r="B228">
        <v>230</v>
      </c>
      <c r="C228">
        <v>8000000</v>
      </c>
      <c r="D228">
        <v>0.00021376000000000001</v>
      </c>
      <c r="E228" s="5">
        <v>5</v>
      </c>
      <c r="F228">
        <v>0.13533999999999999</v>
      </c>
      <c r="G228" s="5">
        <v>8</v>
      </c>
    </row>
    <row r="229">
      <c r="A229" s="2">
        <v>224</v>
      </c>
      <c r="B229">
        <v>240</v>
      </c>
      <c r="C229">
        <v>8000000</v>
      </c>
      <c r="D229">
        <v>0.00019243999999999999</v>
      </c>
      <c r="E229" s="5">
        <v>5</v>
      </c>
      <c r="F229">
        <v>0.12891</v>
      </c>
      <c r="G229" s="5">
        <v>8</v>
      </c>
    </row>
    <row r="230">
      <c r="A230" s="2">
        <v>225</v>
      </c>
      <c r="B230">
        <v>250</v>
      </c>
      <c r="C230">
        <v>8000000</v>
      </c>
      <c r="D230">
        <v>0.00017399000000000001</v>
      </c>
      <c r="E230" s="5">
        <v>5</v>
      </c>
      <c r="F230">
        <v>0.12289</v>
      </c>
      <c r="G230" s="5">
        <v>8</v>
      </c>
    </row>
    <row r="231">
      <c r="A231" s="2">
        <v>226</v>
      </c>
      <c r="B231">
        <v>260</v>
      </c>
      <c r="C231">
        <v>8000000</v>
      </c>
      <c r="D231">
        <v>0.00015786000000000001</v>
      </c>
      <c r="E231" s="5">
        <v>5</v>
      </c>
      <c r="F231">
        <v>0.11723</v>
      </c>
      <c r="G231" s="5">
        <v>8</v>
      </c>
    </row>
    <row r="232">
      <c r="A232" s="2">
        <v>227</v>
      </c>
      <c r="B232">
        <v>270</v>
      </c>
      <c r="C232">
        <v>8000000</v>
      </c>
      <c r="D232">
        <v>0.00014359999999999999</v>
      </c>
      <c r="E232" s="5">
        <v>5</v>
      </c>
      <c r="F232">
        <v>0.11192000000000001</v>
      </c>
      <c r="G232" s="5">
        <v>8</v>
      </c>
    </row>
    <row r="233">
      <c r="A233" s="2">
        <v>228</v>
      </c>
      <c r="B233">
        <v>280</v>
      </c>
      <c r="C233">
        <v>8000000</v>
      </c>
      <c r="D233">
        <v>0.00013087</v>
      </c>
      <c r="E233" s="5">
        <v>5</v>
      </c>
      <c r="F233">
        <v>0.10693</v>
      </c>
      <c r="G233" s="5">
        <v>8</v>
      </c>
    </row>
    <row r="234">
      <c r="A234" s="2">
        <v>229</v>
      </c>
      <c r="B234">
        <v>290</v>
      </c>
      <c r="C234">
        <v>8000000</v>
      </c>
      <c r="D234">
        <v>0.00011938999999999999</v>
      </c>
      <c r="E234" s="5">
        <v>5</v>
      </c>
      <c r="F234">
        <v>0.10222000000000001</v>
      </c>
      <c r="G234" s="5">
        <v>8</v>
      </c>
    </row>
    <row r="235">
      <c r="A235" s="2">
        <v>230</v>
      </c>
      <c r="B235">
        <v>320</v>
      </c>
      <c r="C235">
        <v>8000000</v>
      </c>
      <c r="D235">
        <v>9.0550000000000005e-05</v>
      </c>
      <c r="E235" s="5">
        <v>5</v>
      </c>
      <c r="F235">
        <v>0.089480000000000004</v>
      </c>
      <c r="G235" s="5">
        <v>8</v>
      </c>
    </row>
    <row r="236">
      <c r="A236" s="2">
        <v>231</v>
      </c>
      <c r="B236">
        <v>340</v>
      </c>
      <c r="C236">
        <v>8000000</v>
      </c>
      <c r="D236">
        <v>7.4519999999999998e-05</v>
      </c>
      <c r="E236" s="5">
        <v>5</v>
      </c>
      <c r="F236">
        <v>0.081820000000000004</v>
      </c>
      <c r="G236" s="5">
        <v>8</v>
      </c>
    </row>
    <row r="237">
      <c r="A237" s="2">
        <v>232</v>
      </c>
      <c r="B237">
        <v>360</v>
      </c>
      <c r="C237">
        <v>8000000</v>
      </c>
      <c r="D237">
        <v>5.999e-05</v>
      </c>
      <c r="E237" s="5">
        <v>5</v>
      </c>
      <c r="F237">
        <v>0.074759999999999993</v>
      </c>
      <c r="G237" s="5">
        <v>8</v>
      </c>
    </row>
    <row r="238">
      <c r="A238" s="2">
        <v>233</v>
      </c>
      <c r="B238">
        <v>140</v>
      </c>
      <c r="C238">
        <v>9000000</v>
      </c>
      <c r="D238">
        <v>0.00092184000000000005</v>
      </c>
      <c r="E238" s="5">
        <v>5</v>
      </c>
      <c r="F238">
        <v>0.2077</v>
      </c>
      <c r="G238" s="5">
        <v>8</v>
      </c>
    </row>
    <row r="239">
      <c r="A239" s="2">
        <v>234</v>
      </c>
      <c r="B239">
        <v>150</v>
      </c>
      <c r="C239">
        <v>9000000</v>
      </c>
      <c r="D239">
        <v>0.00071867000000000003</v>
      </c>
      <c r="E239" s="5">
        <v>5</v>
      </c>
      <c r="F239">
        <v>0.20003000000000001</v>
      </c>
      <c r="G239" s="5">
        <v>8</v>
      </c>
    </row>
    <row r="240">
      <c r="A240" s="2">
        <v>235</v>
      </c>
      <c r="B240">
        <v>160</v>
      </c>
      <c r="C240">
        <v>9000000</v>
      </c>
      <c r="D240">
        <v>0.00058071000000000002</v>
      </c>
      <c r="E240" s="5">
        <v>5</v>
      </c>
      <c r="F240">
        <v>0.19167000000000001</v>
      </c>
      <c r="G240" s="5">
        <v>8</v>
      </c>
    </row>
    <row r="241">
      <c r="A241" s="2">
        <v>236</v>
      </c>
      <c r="B241">
        <v>170</v>
      </c>
      <c r="C241">
        <v>9000000</v>
      </c>
      <c r="D241">
        <v>0.00048211</v>
      </c>
      <c r="E241" s="5">
        <v>5</v>
      </c>
      <c r="F241">
        <v>0.18303</v>
      </c>
      <c r="G241" s="5">
        <v>8</v>
      </c>
    </row>
    <row r="242">
      <c r="A242" s="2">
        <v>237</v>
      </c>
      <c r="B242">
        <v>180</v>
      </c>
      <c r="C242">
        <v>9000000</v>
      </c>
      <c r="D242">
        <v>0.00040868000000000002</v>
      </c>
      <c r="E242" s="5">
        <v>5</v>
      </c>
      <c r="F242">
        <v>0.17441999999999999</v>
      </c>
      <c r="G242" s="5">
        <v>8</v>
      </c>
    </row>
    <row r="243">
      <c r="A243" s="2">
        <v>238</v>
      </c>
      <c r="B243">
        <v>190</v>
      </c>
      <c r="C243">
        <v>9000000</v>
      </c>
      <c r="D243">
        <v>0.00035214000000000003</v>
      </c>
      <c r="E243" s="5">
        <v>5</v>
      </c>
      <c r="F243">
        <v>0.16602</v>
      </c>
      <c r="G243" s="5">
        <v>8</v>
      </c>
    </row>
    <row r="244">
      <c r="A244" s="2">
        <v>239</v>
      </c>
      <c r="B244">
        <v>200</v>
      </c>
      <c r="C244">
        <v>9000000</v>
      </c>
      <c r="D244">
        <v>0.00030738</v>
      </c>
      <c r="E244" s="5">
        <v>5</v>
      </c>
      <c r="F244">
        <v>0.15792999999999999</v>
      </c>
      <c r="G244" s="5">
        <v>8</v>
      </c>
    </row>
    <row r="245">
      <c r="A245" s="2">
        <v>240</v>
      </c>
      <c r="B245">
        <v>210</v>
      </c>
      <c r="C245">
        <v>9000000</v>
      </c>
      <c r="D245">
        <v>0.00027112000000000002</v>
      </c>
      <c r="E245" s="5">
        <v>5</v>
      </c>
      <c r="F245">
        <v>0.15024000000000001</v>
      </c>
      <c r="G245" s="5">
        <v>8</v>
      </c>
    </row>
    <row r="246">
      <c r="A246" s="2">
        <v>241</v>
      </c>
      <c r="B246">
        <v>220</v>
      </c>
      <c r="C246">
        <v>9000000</v>
      </c>
      <c r="D246">
        <v>0.00024116</v>
      </c>
      <c r="E246" s="5">
        <v>5</v>
      </c>
      <c r="F246">
        <v>0.14296</v>
      </c>
      <c r="G246" s="5">
        <v>8</v>
      </c>
    </row>
    <row r="247">
      <c r="A247" s="2">
        <v>242</v>
      </c>
      <c r="B247">
        <v>230</v>
      </c>
      <c r="C247">
        <v>9000000</v>
      </c>
      <c r="D247">
        <v>0.00021599</v>
      </c>
      <c r="E247" s="5">
        <v>5</v>
      </c>
      <c r="F247">
        <v>0.13611000000000001</v>
      </c>
      <c r="G247" s="5">
        <v>8</v>
      </c>
    </row>
    <row r="248">
      <c r="A248" s="2">
        <v>243</v>
      </c>
      <c r="B248">
        <v>240</v>
      </c>
      <c r="C248">
        <v>9000000</v>
      </c>
      <c r="D248">
        <v>0.00019452</v>
      </c>
      <c r="E248" s="5">
        <v>5</v>
      </c>
      <c r="F248">
        <v>0.12967999999999999</v>
      </c>
      <c r="G248" s="5">
        <v>8</v>
      </c>
    </row>
    <row r="249">
      <c r="A249" s="2">
        <v>244</v>
      </c>
      <c r="B249">
        <v>250</v>
      </c>
      <c r="C249">
        <v>9000000</v>
      </c>
      <c r="D249">
        <v>0.00017597000000000001</v>
      </c>
      <c r="E249" s="5">
        <v>5</v>
      </c>
      <c r="F249">
        <v>0.12365</v>
      </c>
      <c r="G249" s="5">
        <v>8</v>
      </c>
    </row>
    <row r="250">
      <c r="A250" s="2">
        <v>245</v>
      </c>
      <c r="B250">
        <v>260</v>
      </c>
      <c r="C250">
        <v>9000000</v>
      </c>
      <c r="D250">
        <v>0.00015975000000000001</v>
      </c>
      <c r="E250" s="5">
        <v>5</v>
      </c>
      <c r="F250">
        <v>0.11799999999999999</v>
      </c>
      <c r="G250" s="5">
        <v>8</v>
      </c>
    </row>
    <row r="251">
      <c r="A251" s="2">
        <v>246</v>
      </c>
      <c r="B251">
        <v>270</v>
      </c>
      <c r="C251">
        <v>9000000</v>
      </c>
      <c r="D251">
        <v>0.00014543</v>
      </c>
      <c r="E251" s="5">
        <v>5</v>
      </c>
      <c r="F251">
        <v>0.11271</v>
      </c>
      <c r="G251" s="5">
        <v>8</v>
      </c>
    </row>
    <row r="252">
      <c r="A252" s="2">
        <v>247</v>
      </c>
      <c r="B252">
        <v>280</v>
      </c>
      <c r="C252">
        <v>9000000</v>
      </c>
      <c r="D252">
        <v>0.00013265999999999999</v>
      </c>
      <c r="E252" s="5">
        <v>5</v>
      </c>
      <c r="F252">
        <v>0.10773000000000001</v>
      </c>
      <c r="G252" s="5">
        <v>8</v>
      </c>
    </row>
    <row r="253">
      <c r="A253" s="2">
        <v>248</v>
      </c>
      <c r="B253">
        <v>290</v>
      </c>
      <c r="C253">
        <v>9000000</v>
      </c>
      <c r="D253">
        <v>0.00012116</v>
      </c>
      <c r="E253" s="5">
        <v>5</v>
      </c>
      <c r="F253">
        <v>0.10305</v>
      </c>
      <c r="G253" s="5">
        <v>8</v>
      </c>
    </row>
    <row r="254">
      <c r="A254" s="2">
        <v>249</v>
      </c>
      <c r="B254">
        <v>320</v>
      </c>
      <c r="C254">
        <v>9000000</v>
      </c>
      <c r="D254">
        <v>9.2399999999999996e-05</v>
      </c>
      <c r="E254" s="5">
        <v>5</v>
      </c>
      <c r="F254">
        <v>0.090459999999999999</v>
      </c>
      <c r="G254" s="5">
        <v>8</v>
      </c>
    </row>
    <row r="255">
      <c r="A255" s="2">
        <v>250</v>
      </c>
      <c r="B255">
        <v>340</v>
      </c>
      <c r="C255">
        <v>9000000</v>
      </c>
      <c r="D255">
        <v>7.6559999999999999e-05</v>
      </c>
      <c r="E255" s="5">
        <v>5</v>
      </c>
      <c r="F255">
        <v>0.082979999999999998</v>
      </c>
      <c r="G255" s="5">
        <v>8</v>
      </c>
    </row>
    <row r="256">
      <c r="A256" s="2">
        <v>251</v>
      </c>
      <c r="B256">
        <v>360</v>
      </c>
      <c r="C256">
        <v>9000000</v>
      </c>
      <c r="D256">
        <v>6.2440000000000005e-05</v>
      </c>
      <c r="E256" s="5">
        <v>5</v>
      </c>
      <c r="F256">
        <v>0.076149999999999995</v>
      </c>
      <c r="G256" s="5">
        <v>8</v>
      </c>
    </row>
    <row r="257">
      <c r="A257" s="2">
        <v>252</v>
      </c>
      <c r="B257">
        <v>140</v>
      </c>
      <c r="C257">
        <v>10000000</v>
      </c>
      <c r="D257">
        <v>0.00093088000000000003</v>
      </c>
      <c r="E257" s="5">
        <v>5</v>
      </c>
      <c r="F257">
        <v>0.20874999999999999</v>
      </c>
      <c r="G257" s="5">
        <v>8</v>
      </c>
    </row>
    <row r="258">
      <c r="A258" s="2">
        <v>253</v>
      </c>
      <c r="B258">
        <v>150</v>
      </c>
      <c r="C258">
        <v>10000000</v>
      </c>
      <c r="D258">
        <v>0.00072555999999999999</v>
      </c>
      <c r="E258" s="5">
        <v>5</v>
      </c>
      <c r="F258">
        <v>0.20102999999999999</v>
      </c>
      <c r="G258" s="5">
        <v>8</v>
      </c>
    </row>
    <row r="259">
      <c r="A259" s="2">
        <v>254</v>
      </c>
      <c r="B259">
        <v>160</v>
      </c>
      <c r="C259">
        <v>10000000</v>
      </c>
      <c r="D259">
        <v>0.00058619</v>
      </c>
      <c r="E259" s="5">
        <v>5</v>
      </c>
      <c r="F259">
        <v>0.19262000000000001</v>
      </c>
      <c r="G259" s="5">
        <v>8</v>
      </c>
    </row>
    <row r="260">
      <c r="A260" s="2">
        <v>255</v>
      </c>
      <c r="B260">
        <v>170</v>
      </c>
      <c r="C260">
        <v>10000000</v>
      </c>
      <c r="D260">
        <v>0.00048662</v>
      </c>
      <c r="E260" s="5">
        <v>5</v>
      </c>
      <c r="F260">
        <v>0.18393999999999999</v>
      </c>
      <c r="G260" s="5">
        <v>8</v>
      </c>
    </row>
    <row r="261">
      <c r="A261" s="2">
        <v>256</v>
      </c>
      <c r="B261">
        <v>180</v>
      </c>
      <c r="C261">
        <v>10000000</v>
      </c>
      <c r="D261">
        <v>0.0004125</v>
      </c>
      <c r="E261" s="5">
        <v>5</v>
      </c>
      <c r="F261">
        <v>0.17530000000000001</v>
      </c>
      <c r="G261" s="5">
        <v>8</v>
      </c>
    </row>
    <row r="262">
      <c r="A262" s="2">
        <v>257</v>
      </c>
      <c r="B262">
        <v>190</v>
      </c>
      <c r="C262">
        <v>10000000</v>
      </c>
      <c r="D262">
        <v>0.00035544999999999999</v>
      </c>
      <c r="E262" s="5">
        <v>5</v>
      </c>
      <c r="F262">
        <v>0.16686000000000001</v>
      </c>
      <c r="G262" s="5">
        <v>8</v>
      </c>
    </row>
    <row r="263">
      <c r="A263" s="2">
        <v>258</v>
      </c>
      <c r="B263">
        <v>200</v>
      </c>
      <c r="C263">
        <v>10000000</v>
      </c>
      <c r="D263">
        <v>0.00031031</v>
      </c>
      <c r="E263" s="5">
        <v>5</v>
      </c>
      <c r="F263">
        <v>0.15875</v>
      </c>
      <c r="G263" s="5">
        <v>8</v>
      </c>
    </row>
    <row r="264">
      <c r="A264" s="2">
        <v>259</v>
      </c>
      <c r="B264">
        <v>210</v>
      </c>
      <c r="C264">
        <v>10000000</v>
      </c>
      <c r="D264">
        <v>0.00027375000000000001</v>
      </c>
      <c r="E264" s="5">
        <v>5</v>
      </c>
      <c r="F264">
        <v>0.15104000000000001</v>
      </c>
      <c r="G264" s="5">
        <v>8</v>
      </c>
    </row>
    <row r="265">
      <c r="A265" s="2">
        <v>260</v>
      </c>
      <c r="B265">
        <v>220</v>
      </c>
      <c r="C265">
        <v>10000000</v>
      </c>
      <c r="D265">
        <v>0.00024356000000000001</v>
      </c>
      <c r="E265" s="5">
        <v>5</v>
      </c>
      <c r="F265">
        <v>0.14374000000000001</v>
      </c>
      <c r="G265" s="5">
        <v>8</v>
      </c>
    </row>
    <row r="266">
      <c r="A266" s="2">
        <v>261</v>
      </c>
      <c r="B266">
        <v>230</v>
      </c>
      <c r="C266">
        <v>10000000</v>
      </c>
      <c r="D266">
        <v>0.00021819999999999999</v>
      </c>
      <c r="E266" s="5">
        <v>5</v>
      </c>
      <c r="F266">
        <v>0.13688</v>
      </c>
      <c r="G266" s="5">
        <v>8</v>
      </c>
    </row>
    <row r="267">
      <c r="A267" s="2">
        <v>262</v>
      </c>
      <c r="B267">
        <v>240</v>
      </c>
      <c r="C267">
        <v>10000000</v>
      </c>
      <c r="D267">
        <v>0.00019657999999999999</v>
      </c>
      <c r="E267" s="5">
        <v>5</v>
      </c>
      <c r="F267">
        <v>0.13044</v>
      </c>
      <c r="G267" s="5">
        <v>8</v>
      </c>
    </row>
    <row r="268">
      <c r="A268" s="2">
        <v>263</v>
      </c>
      <c r="B268">
        <v>250</v>
      </c>
      <c r="C268">
        <v>10000000</v>
      </c>
      <c r="D268">
        <v>0.00017792</v>
      </c>
      <c r="E268" s="5">
        <v>5</v>
      </c>
      <c r="F268">
        <v>0.12441000000000001</v>
      </c>
      <c r="G268" s="5">
        <v>8</v>
      </c>
    </row>
    <row r="269">
      <c r="A269" s="2">
        <v>264</v>
      </c>
      <c r="B269">
        <v>260</v>
      </c>
      <c r="C269">
        <v>10000000</v>
      </c>
      <c r="D269">
        <v>0.00016161999999999999</v>
      </c>
      <c r="E269" s="5">
        <v>5</v>
      </c>
      <c r="F269">
        <v>0.11877</v>
      </c>
      <c r="G269" s="5">
        <v>8</v>
      </c>
    </row>
    <row r="270">
      <c r="A270" s="2">
        <v>265</v>
      </c>
      <c r="B270">
        <v>270</v>
      </c>
      <c r="C270">
        <v>10000000</v>
      </c>
      <c r="D270">
        <v>0.00014724000000000001</v>
      </c>
      <c r="E270" s="5">
        <v>5</v>
      </c>
      <c r="F270">
        <v>0.11348</v>
      </c>
      <c r="G270" s="5">
        <v>8</v>
      </c>
    </row>
    <row r="271">
      <c r="A271" s="2">
        <v>266</v>
      </c>
      <c r="B271">
        <v>280</v>
      </c>
      <c r="C271">
        <v>10000000</v>
      </c>
      <c r="D271">
        <v>0.00013442</v>
      </c>
      <c r="E271" s="5">
        <v>5</v>
      </c>
      <c r="F271">
        <v>0.10852000000000001</v>
      </c>
      <c r="G271" s="5">
        <v>8</v>
      </c>
    </row>
    <row r="272">
      <c r="A272" s="2">
        <v>267</v>
      </c>
      <c r="B272">
        <v>290</v>
      </c>
      <c r="C272">
        <v>10000000</v>
      </c>
      <c r="D272">
        <v>0.00012291</v>
      </c>
      <c r="E272" s="5">
        <v>5</v>
      </c>
      <c r="F272">
        <v>0.10385999999999999</v>
      </c>
      <c r="G272" s="5">
        <v>8</v>
      </c>
    </row>
    <row r="273">
      <c r="A273" s="2">
        <v>268</v>
      </c>
      <c r="B273">
        <v>320</v>
      </c>
      <c r="C273">
        <v>10000000</v>
      </c>
      <c r="D273">
        <v>9.4190000000000005e-05</v>
      </c>
      <c r="E273" s="5">
        <v>5</v>
      </c>
      <c r="F273">
        <v>0.091389999999999999</v>
      </c>
      <c r="G273" s="5">
        <v>8</v>
      </c>
    </row>
    <row r="274">
      <c r="A274" s="2">
        <v>269</v>
      </c>
      <c r="B274">
        <v>340</v>
      </c>
      <c r="C274">
        <v>10000000</v>
      </c>
      <c r="D274">
        <v>7.8510000000000006e-05</v>
      </c>
      <c r="E274" s="5">
        <v>5</v>
      </c>
      <c r="F274">
        <v>0.084070000000000006</v>
      </c>
      <c r="G274" s="5">
        <v>8</v>
      </c>
    </row>
    <row r="275">
      <c r="A275" s="2">
        <v>270</v>
      </c>
      <c r="B275">
        <v>360</v>
      </c>
      <c r="C275">
        <v>10000000</v>
      </c>
      <c r="D275">
        <v>6.4700000000000001e-05</v>
      </c>
      <c r="E275" s="5">
        <v>5</v>
      </c>
      <c r="F275">
        <v>0.077439999999999995</v>
      </c>
      <c r="G275" s="5">
        <v>8</v>
      </c>
    </row>
    <row r="276">
      <c r="A276" s="2">
        <v>271</v>
      </c>
      <c r="B276">
        <v>140</v>
      </c>
      <c r="C276">
        <v>15000000</v>
      </c>
      <c r="D276">
        <v>0.00097634999999999996</v>
      </c>
      <c r="E276" s="5">
        <v>5</v>
      </c>
      <c r="F276">
        <v>0.21396999999999999</v>
      </c>
      <c r="G276" s="5">
        <v>8</v>
      </c>
    </row>
    <row r="277">
      <c r="A277" s="2">
        <v>272</v>
      </c>
      <c r="B277">
        <v>150</v>
      </c>
      <c r="C277">
        <v>15000000</v>
      </c>
      <c r="D277">
        <v>0.00076011999999999998</v>
      </c>
      <c r="E277" s="5">
        <v>5</v>
      </c>
      <c r="F277">
        <v>0.20599000000000001</v>
      </c>
      <c r="G277" s="5">
        <v>8</v>
      </c>
    </row>
    <row r="278">
      <c r="A278" s="2">
        <v>273</v>
      </c>
      <c r="B278">
        <v>160</v>
      </c>
      <c r="C278">
        <v>15000000</v>
      </c>
      <c r="D278">
        <v>0.00061362999999999999</v>
      </c>
      <c r="E278" s="5">
        <v>5</v>
      </c>
      <c r="F278">
        <v>0.19733000000000001</v>
      </c>
      <c r="G278" s="5">
        <v>8</v>
      </c>
    </row>
    <row r="279">
      <c r="A279" s="2">
        <v>274</v>
      </c>
      <c r="B279">
        <v>170</v>
      </c>
      <c r="C279">
        <v>15000000</v>
      </c>
      <c r="D279">
        <v>0.00050918000000000003</v>
      </c>
      <c r="E279" s="5">
        <v>5</v>
      </c>
      <c r="F279">
        <v>0.18844</v>
      </c>
      <c r="G279" s="5">
        <v>8</v>
      </c>
    </row>
    <row r="280">
      <c r="A280" s="2">
        <v>275</v>
      </c>
      <c r="B280">
        <v>180</v>
      </c>
      <c r="C280">
        <v>15000000</v>
      </c>
      <c r="D280">
        <v>0.00043155999999999999</v>
      </c>
      <c r="E280" s="5">
        <v>5</v>
      </c>
      <c r="F280">
        <v>0.17960000000000001</v>
      </c>
      <c r="G280" s="5">
        <v>8</v>
      </c>
    </row>
    <row r="281">
      <c r="A281" s="2">
        <v>276</v>
      </c>
      <c r="B281">
        <v>190</v>
      </c>
      <c r="C281">
        <v>15000000</v>
      </c>
      <c r="D281">
        <v>0.00037191999999999998</v>
      </c>
      <c r="E281" s="5">
        <v>5</v>
      </c>
      <c r="F281">
        <v>0.17101</v>
      </c>
      <c r="G281" s="5">
        <v>8</v>
      </c>
    </row>
    <row r="282">
      <c r="A282" s="2">
        <v>277</v>
      </c>
      <c r="B282">
        <v>200</v>
      </c>
      <c r="C282">
        <v>15000000</v>
      </c>
      <c r="D282">
        <v>0.00032482000000000002</v>
      </c>
      <c r="E282" s="5">
        <v>5</v>
      </c>
      <c r="F282">
        <v>0.16275999999999999</v>
      </c>
      <c r="G282" s="5">
        <v>8</v>
      </c>
    </row>
    <row r="283">
      <c r="A283" s="2">
        <v>278</v>
      </c>
      <c r="B283">
        <v>210</v>
      </c>
      <c r="C283">
        <v>15000000</v>
      </c>
      <c r="D283">
        <v>0.00028676</v>
      </c>
      <c r="E283" s="5">
        <v>5</v>
      </c>
      <c r="F283">
        <v>0.15493000000000001</v>
      </c>
      <c r="G283" s="5">
        <v>8</v>
      </c>
    </row>
    <row r="284">
      <c r="A284" s="2">
        <v>279</v>
      </c>
      <c r="B284">
        <v>220</v>
      </c>
      <c r="C284">
        <v>15000000</v>
      </c>
      <c r="D284">
        <v>0.00025537999999999998</v>
      </c>
      <c r="E284" s="5">
        <v>5</v>
      </c>
      <c r="F284">
        <v>0.14754</v>
      </c>
      <c r="G284" s="5">
        <v>8</v>
      </c>
    </row>
    <row r="285">
      <c r="A285" s="2">
        <v>280</v>
      </c>
      <c r="B285">
        <v>230</v>
      </c>
      <c r="C285">
        <v>15000000</v>
      </c>
      <c r="D285">
        <v>0.00022908999999999999</v>
      </c>
      <c r="E285" s="5">
        <v>5</v>
      </c>
      <c r="F285">
        <v>0.14061000000000001</v>
      </c>
      <c r="G285" s="5">
        <v>8</v>
      </c>
    </row>
    <row r="286">
      <c r="A286" s="2">
        <v>281</v>
      </c>
      <c r="B286">
        <v>240</v>
      </c>
      <c r="C286">
        <v>15000000</v>
      </c>
      <c r="D286">
        <v>0.00020673999999999999</v>
      </c>
      <c r="E286" s="5">
        <v>5</v>
      </c>
      <c r="F286">
        <v>0.13413</v>
      </c>
      <c r="G286" s="5">
        <v>8</v>
      </c>
    </row>
    <row r="287">
      <c r="A287" s="2">
        <v>282</v>
      </c>
      <c r="B287">
        <v>250</v>
      </c>
      <c r="C287">
        <v>15000000</v>
      </c>
      <c r="D287">
        <v>0.00018749000000000001</v>
      </c>
      <c r="E287" s="5">
        <v>5</v>
      </c>
      <c r="F287">
        <v>0.12806999999999999</v>
      </c>
      <c r="G287" s="5">
        <v>8</v>
      </c>
    </row>
    <row r="288">
      <c r="A288" s="2">
        <v>283</v>
      </c>
      <c r="B288">
        <v>260</v>
      </c>
      <c r="C288">
        <v>15000000</v>
      </c>
      <c r="D288">
        <v>0.00017072999999999999</v>
      </c>
      <c r="E288" s="5">
        <v>5</v>
      </c>
      <c r="F288">
        <v>0.12242</v>
      </c>
      <c r="G288" s="5">
        <v>8</v>
      </c>
    </row>
    <row r="289">
      <c r="A289" s="2">
        <v>284</v>
      </c>
      <c r="B289">
        <v>270</v>
      </c>
      <c r="C289">
        <v>15000000</v>
      </c>
      <c r="D289">
        <v>0.000156</v>
      </c>
      <c r="E289" s="5">
        <v>5</v>
      </c>
      <c r="F289">
        <v>0.11716</v>
      </c>
      <c r="G289" s="5">
        <v>8</v>
      </c>
    </row>
    <row r="290">
      <c r="A290" s="2">
        <v>285</v>
      </c>
      <c r="B290">
        <v>280</v>
      </c>
      <c r="C290">
        <v>15000000</v>
      </c>
      <c r="D290">
        <v>0.00014291999999999999</v>
      </c>
      <c r="E290" s="5">
        <v>5</v>
      </c>
      <c r="F290">
        <v>0.11225</v>
      </c>
      <c r="G290" s="5">
        <v>8</v>
      </c>
    </row>
    <row r="291">
      <c r="A291" s="2">
        <v>286</v>
      </c>
      <c r="B291">
        <v>290</v>
      </c>
      <c r="C291">
        <v>15000000</v>
      </c>
      <c r="D291">
        <v>0.00013124</v>
      </c>
      <c r="E291" s="5">
        <v>5</v>
      </c>
      <c r="F291">
        <v>0.10766000000000001</v>
      </c>
      <c r="G291" s="5">
        <v>8</v>
      </c>
    </row>
    <row r="292">
      <c r="A292" s="2">
        <v>287</v>
      </c>
      <c r="B292">
        <v>320</v>
      </c>
      <c r="C292">
        <v>15000000</v>
      </c>
      <c r="D292">
        <v>0.00010247</v>
      </c>
      <c r="E292" s="5">
        <v>5</v>
      </c>
      <c r="F292">
        <v>0.095630000000000007</v>
      </c>
      <c r="G292" s="5">
        <v>8</v>
      </c>
    </row>
    <row r="293">
      <c r="A293" s="2">
        <v>288</v>
      </c>
      <c r="B293">
        <v>340</v>
      </c>
      <c r="C293">
        <v>15000000</v>
      </c>
      <c r="D293">
        <v>8.7169999999999994e-05</v>
      </c>
      <c r="E293" s="5">
        <v>5</v>
      </c>
      <c r="F293">
        <v>0.088830000000000006</v>
      </c>
      <c r="G293" s="5">
        <v>8</v>
      </c>
    </row>
    <row r="294">
      <c r="A294" s="2">
        <v>289</v>
      </c>
      <c r="B294">
        <v>360</v>
      </c>
      <c r="C294">
        <v>15000000</v>
      </c>
      <c r="D294">
        <v>7.4120000000000002e-05</v>
      </c>
      <c r="E294" s="5">
        <v>5</v>
      </c>
      <c r="F294">
        <v>0.082860000000000003</v>
      </c>
      <c r="G294" s="5">
        <v>8</v>
      </c>
    </row>
    <row r="295">
      <c r="A295" s="2">
        <v>290</v>
      </c>
      <c r="B295">
        <v>140</v>
      </c>
      <c r="C295">
        <v>20000000</v>
      </c>
      <c r="D295">
        <v>0.00102224</v>
      </c>
      <c r="E295" s="5">
        <v>5</v>
      </c>
      <c r="F295">
        <v>0.21912000000000001</v>
      </c>
      <c r="G295" s="5">
        <v>8</v>
      </c>
    </row>
    <row r="296">
      <c r="A296" s="2">
        <v>291</v>
      </c>
      <c r="B296">
        <v>150</v>
      </c>
      <c r="C296">
        <v>20000000</v>
      </c>
      <c r="D296">
        <v>0.00079487999999999998</v>
      </c>
      <c r="E296" s="5">
        <v>5</v>
      </c>
      <c r="F296">
        <v>0.21087</v>
      </c>
      <c r="G296" s="5">
        <v>8</v>
      </c>
    </row>
    <row r="297">
      <c r="A297" s="2">
        <v>292</v>
      </c>
      <c r="B297">
        <v>160</v>
      </c>
      <c r="C297">
        <v>20000000</v>
      </c>
      <c r="D297">
        <v>0.00064115000000000005</v>
      </c>
      <c r="E297" s="5">
        <v>5</v>
      </c>
      <c r="F297">
        <v>0.20196</v>
      </c>
      <c r="G297" s="5">
        <v>8</v>
      </c>
    </row>
    <row r="298">
      <c r="A298" s="2">
        <v>293</v>
      </c>
      <c r="B298">
        <v>170</v>
      </c>
      <c r="C298">
        <v>20000000</v>
      </c>
      <c r="D298">
        <v>0.00053171000000000002</v>
      </c>
      <c r="E298" s="5">
        <v>5</v>
      </c>
      <c r="F298">
        <v>0.19284999999999999</v>
      </c>
      <c r="G298" s="5">
        <v>8</v>
      </c>
    </row>
    <row r="299">
      <c r="A299" s="2">
        <v>294</v>
      </c>
      <c r="B299">
        <v>180</v>
      </c>
      <c r="C299">
        <v>20000000</v>
      </c>
      <c r="D299">
        <v>0.00045053999999999998</v>
      </c>
      <c r="E299" s="5">
        <v>5</v>
      </c>
      <c r="F299">
        <v>0.18381</v>
      </c>
      <c r="G299" s="5">
        <v>8</v>
      </c>
    </row>
    <row r="300">
      <c r="A300" s="2">
        <v>295</v>
      </c>
      <c r="B300">
        <v>190</v>
      </c>
      <c r="C300">
        <v>20000000</v>
      </c>
      <c r="D300">
        <v>0.00038828000000000002</v>
      </c>
      <c r="E300" s="5">
        <v>5</v>
      </c>
      <c r="F300">
        <v>0.17504</v>
      </c>
      <c r="G300" s="5">
        <v>8</v>
      </c>
    </row>
    <row r="301">
      <c r="A301" s="2">
        <v>296</v>
      </c>
      <c r="B301">
        <v>200</v>
      </c>
      <c r="C301">
        <v>20000000</v>
      </c>
      <c r="D301">
        <v>0.00033918000000000002</v>
      </c>
      <c r="E301" s="5">
        <v>5</v>
      </c>
      <c r="F301">
        <v>0.16664000000000001</v>
      </c>
      <c r="G301" s="5">
        <v>8</v>
      </c>
    </row>
    <row r="302">
      <c r="A302" s="2">
        <v>297</v>
      </c>
      <c r="B302">
        <v>210</v>
      </c>
      <c r="C302">
        <v>20000000</v>
      </c>
      <c r="D302">
        <v>0.00029957999999999997</v>
      </c>
      <c r="E302" s="5">
        <v>5</v>
      </c>
      <c r="F302">
        <v>0.15869</v>
      </c>
      <c r="G302" s="5">
        <v>8</v>
      </c>
    </row>
    <row r="303">
      <c r="A303" s="2">
        <v>298</v>
      </c>
      <c r="B303">
        <v>220</v>
      </c>
      <c r="C303">
        <v>20000000</v>
      </c>
      <c r="D303">
        <v>0.00026698999999999999</v>
      </c>
      <c r="E303" s="5">
        <v>5</v>
      </c>
      <c r="F303">
        <v>0.1512</v>
      </c>
      <c r="G303" s="5">
        <v>8</v>
      </c>
    </row>
    <row r="304">
      <c r="A304" s="2">
        <v>299</v>
      </c>
      <c r="B304">
        <v>230</v>
      </c>
      <c r="C304">
        <v>20000000</v>
      </c>
      <c r="D304">
        <v>0.00023974000000000001</v>
      </c>
      <c r="E304" s="5">
        <v>5</v>
      </c>
      <c r="F304">
        <v>0.14419000000000001</v>
      </c>
      <c r="G304" s="5">
        <v>8</v>
      </c>
    </row>
    <row r="305">
      <c r="A305" s="2">
        <v>300</v>
      </c>
      <c r="B305">
        <v>240</v>
      </c>
      <c r="C305">
        <v>20000000</v>
      </c>
      <c r="D305">
        <v>0.00021661</v>
      </c>
      <c r="E305" s="5">
        <v>5</v>
      </c>
      <c r="F305">
        <v>0.13764000000000001</v>
      </c>
      <c r="G305" s="5">
        <v>8</v>
      </c>
    </row>
    <row r="306">
      <c r="A306" s="2">
        <v>301</v>
      </c>
      <c r="B306">
        <v>250</v>
      </c>
      <c r="C306">
        <v>20000000</v>
      </c>
      <c r="D306">
        <v>0.00019673999999999999</v>
      </c>
      <c r="E306" s="5">
        <v>5</v>
      </c>
      <c r="F306">
        <v>0.13153999999999999</v>
      </c>
      <c r="G306" s="5">
        <v>8</v>
      </c>
    </row>
    <row r="307">
      <c r="A307" s="2">
        <v>302</v>
      </c>
      <c r="B307">
        <v>260</v>
      </c>
      <c r="C307">
        <v>20000000</v>
      </c>
      <c r="D307">
        <v>0.00017949</v>
      </c>
      <c r="E307" s="5">
        <v>5</v>
      </c>
      <c r="F307">
        <v>0.12586</v>
      </c>
      <c r="G307" s="5">
        <v>8</v>
      </c>
    </row>
    <row r="308">
      <c r="A308" s="2">
        <v>303</v>
      </c>
      <c r="B308">
        <v>270</v>
      </c>
      <c r="C308">
        <v>20000000</v>
      </c>
      <c r="D308">
        <v>0.00016436000000000001</v>
      </c>
      <c r="E308" s="5">
        <v>5</v>
      </c>
      <c r="F308">
        <v>0.12059</v>
      </c>
      <c r="G308" s="5">
        <v>8</v>
      </c>
    </row>
    <row r="309">
      <c r="A309" s="2">
        <v>304</v>
      </c>
      <c r="B309">
        <v>280</v>
      </c>
      <c r="C309">
        <v>20000000</v>
      </c>
      <c r="D309">
        <v>0.00015097</v>
      </c>
      <c r="E309" s="5">
        <v>5</v>
      </c>
      <c r="F309">
        <v>0.11569</v>
      </c>
      <c r="G309" s="5">
        <v>8</v>
      </c>
    </row>
    <row r="310">
      <c r="A310" s="2">
        <v>305</v>
      </c>
      <c r="B310">
        <v>290</v>
      </c>
      <c r="C310">
        <v>20000000</v>
      </c>
      <c r="D310">
        <v>0.00013904999999999999</v>
      </c>
      <c r="E310" s="5">
        <v>5</v>
      </c>
      <c r="F310">
        <v>0.11114</v>
      </c>
      <c r="G310" s="5">
        <v>8</v>
      </c>
    </row>
    <row r="311">
      <c r="A311" s="2">
        <v>306</v>
      </c>
      <c r="B311">
        <v>340</v>
      </c>
      <c r="C311">
        <v>20000000</v>
      </c>
      <c r="D311">
        <v>9.4660000000000005e-05</v>
      </c>
      <c r="E311" s="5">
        <v>5</v>
      </c>
      <c r="F311">
        <v>0.092780000000000001</v>
      </c>
      <c r="G311" s="5">
        <v>8</v>
      </c>
    </row>
    <row r="312">
      <c r="A312" s="2">
        <v>307</v>
      </c>
      <c r="B312">
        <v>360</v>
      </c>
      <c r="C312">
        <v>20000000</v>
      </c>
      <c r="D312">
        <v>8.1810000000000004e-05</v>
      </c>
      <c r="E312" s="5">
        <v>5</v>
      </c>
      <c r="F312">
        <v>0.087150000000000005</v>
      </c>
      <c r="G312" s="5">
        <v>8</v>
      </c>
    </row>
    <row r="313">
      <c r="A313" s="2">
        <v>308</v>
      </c>
      <c r="B313">
        <v>140</v>
      </c>
      <c r="C313">
        <v>30000000</v>
      </c>
      <c r="D313">
        <v>0.0011152899999999999</v>
      </c>
      <c r="E313" s="5">
        <v>5</v>
      </c>
      <c r="F313">
        <v>0.22925000000000001</v>
      </c>
      <c r="G313" s="5">
        <v>8</v>
      </c>
    </row>
    <row r="314">
      <c r="A314" s="2">
        <v>309</v>
      </c>
      <c r="B314">
        <v>150</v>
      </c>
      <c r="C314">
        <v>30000000</v>
      </c>
      <c r="D314">
        <v>0.00086501000000000004</v>
      </c>
      <c r="E314" s="5">
        <v>5</v>
      </c>
      <c r="F314">
        <v>0.22042</v>
      </c>
      <c r="G314" s="5">
        <v>8</v>
      </c>
    </row>
    <row r="315">
      <c r="A315" s="2">
        <v>310</v>
      </c>
      <c r="B315">
        <v>160</v>
      </c>
      <c r="C315">
        <v>30000000</v>
      </c>
      <c r="D315">
        <v>0.00069640000000000001</v>
      </c>
      <c r="E315" s="5">
        <v>5</v>
      </c>
      <c r="F315">
        <v>0.21099000000000001</v>
      </c>
      <c r="G315" s="5">
        <v>8</v>
      </c>
    </row>
    <row r="316">
      <c r="A316" s="2">
        <v>311</v>
      </c>
      <c r="B316">
        <v>170</v>
      </c>
      <c r="C316">
        <v>30000000</v>
      </c>
      <c r="D316">
        <v>0.00057677</v>
      </c>
      <c r="E316" s="5">
        <v>5</v>
      </c>
      <c r="F316">
        <v>0.2014</v>
      </c>
      <c r="G316" s="5">
        <v>8</v>
      </c>
    </row>
    <row r="317">
      <c r="A317" s="2">
        <v>312</v>
      </c>
      <c r="B317">
        <v>180</v>
      </c>
      <c r="C317">
        <v>30000000</v>
      </c>
      <c r="D317">
        <v>0.00048831000000000005</v>
      </c>
      <c r="E317" s="5">
        <v>5</v>
      </c>
      <c r="F317">
        <v>0.19195000000000001</v>
      </c>
      <c r="G317" s="5">
        <v>8</v>
      </c>
    </row>
    <row r="318">
      <c r="A318" s="2">
        <v>313</v>
      </c>
      <c r="B318">
        <v>190</v>
      </c>
      <c r="C318">
        <v>30000000</v>
      </c>
      <c r="D318">
        <v>0.00042067</v>
      </c>
      <c r="E318" s="5">
        <v>5</v>
      </c>
      <c r="F318">
        <v>0.18281</v>
      </c>
      <c r="G318" s="5">
        <v>8</v>
      </c>
    </row>
    <row r="319">
      <c r="A319" s="2">
        <v>314</v>
      </c>
      <c r="B319">
        <v>200</v>
      </c>
      <c r="C319">
        <v>30000000</v>
      </c>
      <c r="D319">
        <v>0.00036749999999999999</v>
      </c>
      <c r="E319" s="5">
        <v>5</v>
      </c>
      <c r="F319">
        <v>0.1741</v>
      </c>
      <c r="G319" s="5">
        <v>8</v>
      </c>
    </row>
    <row r="320">
      <c r="A320" s="2">
        <v>315</v>
      </c>
      <c r="B320">
        <v>210</v>
      </c>
      <c r="C320">
        <v>30000000</v>
      </c>
      <c r="D320">
        <v>0.00032473000000000002</v>
      </c>
      <c r="E320" s="5">
        <v>5</v>
      </c>
      <c r="F320">
        <v>0.16586999999999999</v>
      </c>
      <c r="G320" s="5">
        <v>8</v>
      </c>
    </row>
    <row r="321">
      <c r="A321" s="2">
        <v>316</v>
      </c>
      <c r="B321">
        <v>220</v>
      </c>
      <c r="C321">
        <v>30000000</v>
      </c>
      <c r="D321">
        <v>0.00028965000000000002</v>
      </c>
      <c r="E321" s="5">
        <v>5</v>
      </c>
      <c r="F321">
        <v>0.15814</v>
      </c>
      <c r="G321" s="5">
        <v>8</v>
      </c>
    </row>
    <row r="322">
      <c r="A322" s="2">
        <v>317</v>
      </c>
      <c r="B322">
        <v>230</v>
      </c>
      <c r="C322">
        <v>30000000</v>
      </c>
      <c r="D322">
        <v>0.00026039999999999999</v>
      </c>
      <c r="E322" s="5">
        <v>5</v>
      </c>
      <c r="F322">
        <v>0.15093000000000001</v>
      </c>
      <c r="G322" s="5">
        <v>8</v>
      </c>
    </row>
    <row r="323">
      <c r="A323" s="2">
        <v>318</v>
      </c>
      <c r="B323">
        <v>240</v>
      </c>
      <c r="C323">
        <v>30000000</v>
      </c>
      <c r="D323">
        <v>0.00023566</v>
      </c>
      <c r="E323" s="5">
        <v>5</v>
      </c>
      <c r="F323">
        <v>0.14421999999999999</v>
      </c>
      <c r="G323" s="5">
        <v>8</v>
      </c>
    </row>
    <row r="324">
      <c r="A324" s="2">
        <v>319</v>
      </c>
      <c r="B324">
        <v>250</v>
      </c>
      <c r="C324">
        <v>30000000</v>
      </c>
      <c r="D324">
        <v>0.00021447999999999999</v>
      </c>
      <c r="E324" s="5">
        <v>5</v>
      </c>
      <c r="F324">
        <v>0.13799</v>
      </c>
      <c r="G324" s="5">
        <v>8</v>
      </c>
    </row>
    <row r="325">
      <c r="A325" s="2">
        <v>320</v>
      </c>
      <c r="B325">
        <v>260</v>
      </c>
      <c r="C325">
        <v>30000000</v>
      </c>
      <c r="D325">
        <v>0.00019615999999999999</v>
      </c>
      <c r="E325" s="5">
        <v>5</v>
      </c>
      <c r="F325">
        <v>0.13222</v>
      </c>
      <c r="G325" s="5">
        <v>8</v>
      </c>
    </row>
    <row r="326">
      <c r="A326" s="2">
        <v>321</v>
      </c>
      <c r="B326">
        <v>270</v>
      </c>
      <c r="C326">
        <v>30000000</v>
      </c>
      <c r="D326">
        <v>0.00018013999999999999</v>
      </c>
      <c r="E326" s="5">
        <v>5</v>
      </c>
      <c r="F326">
        <v>0.12687999999999999</v>
      </c>
      <c r="G326" s="5">
        <v>8</v>
      </c>
    </row>
    <row r="327">
      <c r="A327" s="2">
        <v>322</v>
      </c>
      <c r="B327">
        <v>280</v>
      </c>
      <c r="C327">
        <v>30000000</v>
      </c>
      <c r="D327">
        <v>0.00016604</v>
      </c>
      <c r="E327" s="5">
        <v>5</v>
      </c>
      <c r="F327">
        <v>0.12194000000000001</v>
      </c>
      <c r="G327" s="5">
        <v>8</v>
      </c>
    </row>
    <row r="328">
      <c r="A328" s="2">
        <v>323</v>
      </c>
      <c r="B328">
        <v>290</v>
      </c>
      <c r="C328">
        <v>30000000</v>
      </c>
      <c r="D328">
        <v>0.00015353</v>
      </c>
      <c r="E328" s="5">
        <v>5</v>
      </c>
      <c r="F328">
        <v>0.11737</v>
      </c>
      <c r="G328" s="5">
        <v>8</v>
      </c>
    </row>
    <row r="329">
      <c r="A329" s="2">
        <v>324</v>
      </c>
      <c r="B329">
        <v>340</v>
      </c>
      <c r="C329">
        <v>30000000</v>
      </c>
      <c r="D329">
        <v>0.00010760999999999999</v>
      </c>
      <c r="E329" s="5">
        <v>5</v>
      </c>
      <c r="F329">
        <v>0.099330000000000002</v>
      </c>
      <c r="G329" s="5">
        <v>8</v>
      </c>
    </row>
    <row r="330">
      <c r="A330" s="2">
        <v>325</v>
      </c>
      <c r="B330">
        <v>360</v>
      </c>
      <c r="C330">
        <v>30000000</v>
      </c>
      <c r="D330">
        <v>9.4580000000000006e-05</v>
      </c>
      <c r="E330" s="5">
        <v>5</v>
      </c>
      <c r="F330">
        <v>0.093979999999999994</v>
      </c>
      <c r="G330" s="5">
        <v>8</v>
      </c>
    </row>
    <row r="331">
      <c r="A331" s="2">
        <v>326</v>
      </c>
      <c r="B331">
        <v>140</v>
      </c>
      <c r="C331">
        <v>40000000</v>
      </c>
      <c r="D331">
        <v>0.0012099700000000001</v>
      </c>
      <c r="E331" s="5">
        <v>5</v>
      </c>
      <c r="F331">
        <v>0.23916000000000001</v>
      </c>
      <c r="G331" s="5">
        <v>8</v>
      </c>
    </row>
    <row r="332">
      <c r="A332" s="2">
        <v>327</v>
      </c>
      <c r="B332">
        <v>150</v>
      </c>
      <c r="C332">
        <v>40000000</v>
      </c>
      <c r="D332">
        <v>0.00093592999999999997</v>
      </c>
      <c r="E332" s="5">
        <v>5</v>
      </c>
      <c r="F332">
        <v>0.22972000000000001</v>
      </c>
      <c r="G332" s="5">
        <v>8</v>
      </c>
    </row>
    <row r="333">
      <c r="A333" s="2">
        <v>328</v>
      </c>
      <c r="B333">
        <v>160</v>
      </c>
      <c r="C333">
        <v>40000000</v>
      </c>
      <c r="D333">
        <v>0.00075195000000000004</v>
      </c>
      <c r="E333" s="5">
        <v>5</v>
      </c>
      <c r="F333">
        <v>0.21973999999999999</v>
      </c>
      <c r="G333" s="5">
        <v>8</v>
      </c>
    </row>
    <row r="334">
      <c r="A334" s="2">
        <v>329</v>
      </c>
      <c r="B334">
        <v>170</v>
      </c>
      <c r="C334">
        <v>40000000</v>
      </c>
      <c r="D334">
        <v>0.00062180999999999998</v>
      </c>
      <c r="E334" s="5">
        <v>5</v>
      </c>
      <c r="F334">
        <v>0.20966000000000001</v>
      </c>
      <c r="G334" s="5">
        <v>8</v>
      </c>
    </row>
    <row r="335">
      <c r="A335" s="2">
        <v>330</v>
      </c>
      <c r="B335">
        <v>180</v>
      </c>
      <c r="C335">
        <v>40000000</v>
      </c>
      <c r="D335">
        <v>0.00052587</v>
      </c>
      <c r="E335" s="5">
        <v>5</v>
      </c>
      <c r="F335">
        <v>0.19977</v>
      </c>
      <c r="G335" s="5">
        <v>8</v>
      </c>
    </row>
    <row r="336">
      <c r="A336" s="2">
        <v>331</v>
      </c>
      <c r="B336">
        <v>190</v>
      </c>
      <c r="C336">
        <v>40000000</v>
      </c>
      <c r="D336">
        <v>0.00045270999999999999</v>
      </c>
      <c r="E336" s="5">
        <v>5</v>
      </c>
      <c r="F336">
        <v>0.19023999999999999</v>
      </c>
      <c r="G336" s="5">
        <v>8</v>
      </c>
    </row>
    <row r="337">
      <c r="A337" s="2">
        <v>332</v>
      </c>
      <c r="B337">
        <v>200</v>
      </c>
      <c r="C337">
        <v>40000000</v>
      </c>
      <c r="D337">
        <v>0.00039534999999999999</v>
      </c>
      <c r="E337" s="5">
        <v>5</v>
      </c>
      <c r="F337">
        <v>0.18118999999999999</v>
      </c>
      <c r="G337" s="5">
        <v>8</v>
      </c>
    </row>
    <row r="338">
      <c r="A338" s="2">
        <v>333</v>
      </c>
      <c r="B338">
        <v>210</v>
      </c>
      <c r="C338">
        <v>40000000</v>
      </c>
      <c r="D338">
        <v>0.00034933000000000002</v>
      </c>
      <c r="E338" s="5">
        <v>5</v>
      </c>
      <c r="F338">
        <v>0.17266000000000001</v>
      </c>
      <c r="G338" s="5">
        <v>8</v>
      </c>
    </row>
    <row r="339">
      <c r="A339" s="2">
        <v>334</v>
      </c>
      <c r="B339">
        <v>220</v>
      </c>
      <c r="C339">
        <v>40000000</v>
      </c>
      <c r="D339">
        <v>0.00031168999999999999</v>
      </c>
      <c r="E339" s="5">
        <v>5</v>
      </c>
      <c r="F339">
        <v>0.16467000000000001</v>
      </c>
      <c r="G339" s="5">
        <v>8</v>
      </c>
    </row>
    <row r="340">
      <c r="A340" s="2">
        <v>335</v>
      </c>
      <c r="B340">
        <v>230</v>
      </c>
      <c r="C340">
        <v>40000000</v>
      </c>
      <c r="D340">
        <v>0.00028038</v>
      </c>
      <c r="E340" s="5">
        <v>5</v>
      </c>
      <c r="F340">
        <v>0.15723000000000001</v>
      </c>
      <c r="G340" s="5">
        <v>8</v>
      </c>
    </row>
    <row r="341">
      <c r="A341" s="2">
        <v>336</v>
      </c>
      <c r="B341">
        <v>240</v>
      </c>
      <c r="C341">
        <v>40000000</v>
      </c>
      <c r="D341">
        <v>0.00025396000000000001</v>
      </c>
      <c r="E341" s="5">
        <v>5</v>
      </c>
      <c r="F341">
        <v>0.15032999999999999</v>
      </c>
      <c r="G341" s="5">
        <v>8</v>
      </c>
    </row>
    <row r="342">
      <c r="A342" s="2">
        <v>337</v>
      </c>
      <c r="B342">
        <v>250</v>
      </c>
      <c r="C342">
        <v>40000000</v>
      </c>
      <c r="D342">
        <v>0.00023141000000000001</v>
      </c>
      <c r="E342" s="5">
        <v>5</v>
      </c>
      <c r="F342">
        <v>0.14394000000000001</v>
      </c>
      <c r="G342" s="5">
        <v>8</v>
      </c>
    </row>
    <row r="343">
      <c r="A343" s="2">
        <v>338</v>
      </c>
      <c r="B343">
        <v>260</v>
      </c>
      <c r="C343">
        <v>40000000</v>
      </c>
      <c r="D343">
        <v>0.00021194000000000001</v>
      </c>
      <c r="E343" s="5">
        <v>5</v>
      </c>
      <c r="F343">
        <v>0.13803000000000001</v>
      </c>
      <c r="G343" s="5">
        <v>8</v>
      </c>
    </row>
    <row r="344">
      <c r="A344" s="2">
        <v>339</v>
      </c>
      <c r="B344">
        <v>270</v>
      </c>
      <c r="C344">
        <v>40000000</v>
      </c>
      <c r="D344">
        <v>0.00019498000000000001</v>
      </c>
      <c r="E344" s="5">
        <v>5</v>
      </c>
      <c r="F344">
        <v>0.13256999999999999</v>
      </c>
      <c r="G344" s="5">
        <v>8</v>
      </c>
    </row>
    <row r="345">
      <c r="A345" s="2">
        <v>340</v>
      </c>
      <c r="B345">
        <v>280</v>
      </c>
      <c r="C345">
        <v>40000000</v>
      </c>
      <c r="D345">
        <v>0.00018008</v>
      </c>
      <c r="E345" s="5">
        <v>5</v>
      </c>
      <c r="F345">
        <v>0.12753999999999999</v>
      </c>
      <c r="G345" s="5">
        <v>8</v>
      </c>
    </row>
    <row r="346">
      <c r="A346" s="2">
        <v>341</v>
      </c>
      <c r="B346">
        <v>290</v>
      </c>
      <c r="C346">
        <v>40000000</v>
      </c>
      <c r="D346">
        <v>0.00016689999999999999</v>
      </c>
      <c r="E346" s="5">
        <v>5</v>
      </c>
      <c r="F346">
        <v>0.12291000000000001</v>
      </c>
      <c r="G346" s="5">
        <v>8</v>
      </c>
    </row>
    <row r="347">
      <c r="A347" s="2">
        <v>342</v>
      </c>
      <c r="B347">
        <v>360</v>
      </c>
      <c r="C347">
        <v>40000000</v>
      </c>
      <c r="D347">
        <v>0.00010539000000000001</v>
      </c>
      <c r="E347" s="5">
        <v>5</v>
      </c>
      <c r="F347">
        <v>0.099470000000000003</v>
      </c>
      <c r="G347" s="5">
        <v>8</v>
      </c>
    </row>
    <row r="348">
      <c r="A348" s="2">
        <v>343</v>
      </c>
      <c r="B348">
        <v>140</v>
      </c>
      <c r="C348">
        <v>50000000</v>
      </c>
      <c r="D348">
        <v>0.0013062099999999999</v>
      </c>
      <c r="E348" s="5">
        <v>5</v>
      </c>
      <c r="F348">
        <v>0.24887000000000001</v>
      </c>
      <c r="G348" s="5">
        <v>8</v>
      </c>
    </row>
    <row r="349">
      <c r="A349" s="2">
        <v>344</v>
      </c>
      <c r="B349">
        <v>150</v>
      </c>
      <c r="C349">
        <v>50000000</v>
      </c>
      <c r="D349">
        <v>0.00100763</v>
      </c>
      <c r="E349" s="5">
        <v>5</v>
      </c>
      <c r="F349">
        <v>0.23879</v>
      </c>
      <c r="G349" s="5">
        <v>8</v>
      </c>
    </row>
    <row r="350">
      <c r="A350" s="2">
        <v>345</v>
      </c>
      <c r="B350">
        <v>160</v>
      </c>
      <c r="C350">
        <v>50000000</v>
      </c>
      <c r="D350">
        <v>0.00080780000000000001</v>
      </c>
      <c r="E350" s="5">
        <v>5</v>
      </c>
      <c r="F350">
        <v>0.22824</v>
      </c>
      <c r="G350" s="5">
        <v>8</v>
      </c>
    </row>
    <row r="351">
      <c r="A351" s="2">
        <v>346</v>
      </c>
      <c r="B351">
        <v>170</v>
      </c>
      <c r="C351">
        <v>50000000</v>
      </c>
      <c r="D351">
        <v>0.00066688000000000001</v>
      </c>
      <c r="E351" s="5">
        <v>5</v>
      </c>
      <c r="F351">
        <v>0.21765000000000001</v>
      </c>
      <c r="G351" s="5">
        <v>8</v>
      </c>
    </row>
    <row r="352">
      <c r="A352" s="2">
        <v>347</v>
      </c>
      <c r="B352">
        <v>180</v>
      </c>
      <c r="C352">
        <v>50000000</v>
      </c>
      <c r="D352">
        <v>0.00056327000000000005</v>
      </c>
      <c r="E352" s="5">
        <v>5</v>
      </c>
      <c r="F352">
        <v>0.20730999999999999</v>
      </c>
      <c r="G352" s="5">
        <v>8</v>
      </c>
    </row>
    <row r="353">
      <c r="A353" s="2">
        <v>348</v>
      </c>
      <c r="B353">
        <v>190</v>
      </c>
      <c r="C353">
        <v>50000000</v>
      </c>
      <c r="D353">
        <v>0.00048445999999999998</v>
      </c>
      <c r="E353" s="5">
        <v>5</v>
      </c>
      <c r="F353">
        <v>0.19738</v>
      </c>
      <c r="G353" s="5">
        <v>8</v>
      </c>
    </row>
    <row r="354">
      <c r="A354" s="2">
        <v>349</v>
      </c>
      <c r="B354">
        <v>200</v>
      </c>
      <c r="C354">
        <v>50000000</v>
      </c>
      <c r="D354">
        <v>0.00042282000000000002</v>
      </c>
      <c r="E354" s="5">
        <v>5</v>
      </c>
      <c r="F354">
        <v>0.18795999999999999</v>
      </c>
      <c r="G354" s="5">
        <v>8</v>
      </c>
    </row>
    <row r="355">
      <c r="A355" s="2">
        <v>350</v>
      </c>
      <c r="B355">
        <v>210</v>
      </c>
      <c r="C355">
        <v>50000000</v>
      </c>
      <c r="D355">
        <v>0.00037347999999999998</v>
      </c>
      <c r="E355" s="5">
        <v>5</v>
      </c>
      <c r="F355">
        <v>0.17912</v>
      </c>
      <c r="G355" s="5">
        <v>8</v>
      </c>
    </row>
    <row r="356">
      <c r="A356" s="2">
        <v>351</v>
      </c>
      <c r="B356">
        <v>220</v>
      </c>
      <c r="C356">
        <v>50000000</v>
      </c>
      <c r="D356">
        <v>0.00033321000000000002</v>
      </c>
      <c r="E356" s="5">
        <v>5</v>
      </c>
      <c r="F356">
        <v>0.17085</v>
      </c>
      <c r="G356" s="5">
        <v>8</v>
      </c>
    </row>
    <row r="357">
      <c r="A357" s="2">
        <v>352</v>
      </c>
      <c r="B357">
        <v>230</v>
      </c>
      <c r="C357">
        <v>50000000</v>
      </c>
      <c r="D357">
        <v>0.00029978999999999997</v>
      </c>
      <c r="E357" s="5">
        <v>5</v>
      </c>
      <c r="F357">
        <v>0.16317000000000001</v>
      </c>
      <c r="G357" s="5">
        <v>8</v>
      </c>
    </row>
    <row r="358">
      <c r="A358" s="2">
        <v>353</v>
      </c>
      <c r="B358">
        <v>240</v>
      </c>
      <c r="C358">
        <v>50000000</v>
      </c>
      <c r="D358">
        <v>0.00027166000000000001</v>
      </c>
      <c r="E358" s="5">
        <v>5</v>
      </c>
      <c r="F358">
        <v>0.15606</v>
      </c>
      <c r="G358" s="5">
        <v>8</v>
      </c>
    </row>
    <row r="359">
      <c r="A359" s="2">
        <v>354</v>
      </c>
      <c r="B359">
        <v>250</v>
      </c>
      <c r="C359">
        <v>50000000</v>
      </c>
      <c r="D359">
        <v>0.00024758000000000001</v>
      </c>
      <c r="E359" s="5">
        <v>5</v>
      </c>
      <c r="F359">
        <v>0.14948</v>
      </c>
      <c r="G359" s="5">
        <v>8</v>
      </c>
    </row>
    <row r="360">
      <c r="A360" s="2">
        <v>355</v>
      </c>
      <c r="B360">
        <v>260</v>
      </c>
      <c r="C360">
        <v>50000000</v>
      </c>
      <c r="D360">
        <v>0.00022703</v>
      </c>
      <c r="E360" s="5">
        <v>5</v>
      </c>
      <c r="F360">
        <v>0.14341000000000001</v>
      </c>
      <c r="G360" s="5">
        <v>8</v>
      </c>
    </row>
    <row r="361">
      <c r="A361" s="2">
        <v>356</v>
      </c>
      <c r="B361">
        <v>270</v>
      </c>
      <c r="C361">
        <v>50000000</v>
      </c>
      <c r="D361">
        <v>0.00020908</v>
      </c>
      <c r="E361" s="5">
        <v>5</v>
      </c>
      <c r="F361">
        <v>0.13782</v>
      </c>
      <c r="G361" s="5">
        <v>8</v>
      </c>
    </row>
    <row r="362">
      <c r="A362" s="2">
        <v>357</v>
      </c>
      <c r="B362">
        <v>280</v>
      </c>
      <c r="C362">
        <v>50000000</v>
      </c>
      <c r="D362">
        <v>0.00019333999999999999</v>
      </c>
      <c r="E362" s="5">
        <v>5</v>
      </c>
      <c r="F362">
        <v>0.13267000000000001</v>
      </c>
      <c r="G362" s="5">
        <v>8</v>
      </c>
    </row>
    <row r="363">
      <c r="A363" s="2">
        <v>358</v>
      </c>
      <c r="B363">
        <v>290</v>
      </c>
      <c r="C363">
        <v>50000000</v>
      </c>
      <c r="D363">
        <v>0.00017945</v>
      </c>
      <c r="E363" s="5">
        <v>5</v>
      </c>
      <c r="F363">
        <v>0.12794</v>
      </c>
      <c r="G363" s="5">
        <v>8</v>
      </c>
    </row>
    <row r="364">
      <c r="A364" s="3" t="s">
        <v>46</v>
      </c>
      <c r="B364" s="3"/>
      <c r="C364" s="3"/>
      <c r="D364" s="3"/>
      <c r="E364" s="3"/>
      <c r="F364" s="3"/>
      <c r="G364" s="3"/>
    </row>
    <row r="365">
      <c r="A365" s="2">
        <v>1</v>
      </c>
      <c r="B365" t="s">
        <v>36</v>
      </c>
      <c r="C365" t="s">
        <v>47</v>
      </c>
    </row>
    <row r="366">
      <c r="A366" s="2">
        <v>2</v>
      </c>
      <c r="B366" t="s">
        <v>38</v>
      </c>
      <c r="C366" t="s">
        <v>48</v>
      </c>
    </row>
    <row r="367">
      <c r="A367" s="2">
        <v>3</v>
      </c>
      <c r="B367" t="s">
        <v>40</v>
      </c>
      <c r="C367" t="s">
        <v>49</v>
      </c>
    </row>
    <row r="368">
      <c r="A368" s="2">
        <v>4</v>
      </c>
      <c r="B368" t="s">
        <v>43</v>
      </c>
      <c r="C368" t="s">
        <v>50</v>
      </c>
    </row>
    <row r="369">
      <c r="A369" s="3" t="s">
        <v>51</v>
      </c>
      <c r="B369" s="0"/>
      <c r="C369" s="0"/>
      <c r="D369" s="0"/>
      <c r="E369" s="0"/>
      <c r="F369" s="0"/>
      <c r="G369" s="0"/>
    </row>
    <row r="370">
      <c r="A370" s="2">
        <v>1</v>
      </c>
      <c r="B370">
        <f>HYPERLINK("#Components!A1","74-98-6")</f>
      </c>
      <c r="C370" t="s">
        <v>0</v>
      </c>
    </row>
    <row r="371">
      <c r="A371" s="3" t="s">
        <v>52</v>
      </c>
      <c r="B371" s="0"/>
      <c r="C371" s="0"/>
      <c r="D371" s="0"/>
      <c r="E371" s="0"/>
      <c r="F371" s="0"/>
      <c r="G371" s="0"/>
    </row>
    <row r="372">
      <c r="A372" s="2" t="s">
        <v>53</v>
      </c>
      <c r="B372" t="s">
        <v>54</v>
      </c>
    </row>
    <row r="373">
      <c r="A373" s="2" t="s">
        <v>55</v>
      </c>
      <c r="B373">
        <f>HYPERLINK("#References!A1","DELI-003034")</f>
      </c>
    </row>
    <row r="375">
      <c r="A375" s="1" t="s">
        <v>66</v>
      </c>
      <c r="B375" s="1"/>
      <c r="C375" s="1"/>
      <c r="D375" s="1"/>
    </row>
    <row r="376">
      <c r="A376" s="2" t="s">
        <v>35</v>
      </c>
      <c r="B376" s="2" t="s">
        <v>64</v>
      </c>
      <c r="C376" s="2" t="s">
        <v>65</v>
      </c>
      <c r="D376" s="2" t="s">
        <v>40</v>
      </c>
    </row>
    <row r="377">
      <c r="A377" s="2"/>
      <c r="B377" s="2"/>
      <c r="C377" s="2"/>
      <c r="D377" s="2"/>
    </row>
    <row r="378">
      <c r="A378" s="2"/>
      <c r="B378" s="2" t="s">
        <v>37</v>
      </c>
      <c r="C378" s="2" t="s">
        <v>39</v>
      </c>
      <c r="D378" s="2" t="s">
        <v>41</v>
      </c>
    </row>
    <row r="379">
      <c r="A379" s="2"/>
      <c r="B379" s="2">
        <v>1</v>
      </c>
      <c r="C379" s="2">
        <v>2</v>
      </c>
      <c r="D379" s="2">
        <v>3</v>
      </c>
    </row>
    <row r="380">
      <c r="A380" s="2">
        <v>1</v>
      </c>
      <c r="B380">
        <v>310.92599999999999</v>
      </c>
      <c r="C380">
        <v>1378947</v>
      </c>
      <c r="D380">
        <v>8.4800000000000001e-05</v>
      </c>
    </row>
    <row r="381">
      <c r="A381" s="2">
        <v>2</v>
      </c>
      <c r="B381">
        <v>310.92599999999999</v>
      </c>
      <c r="C381">
        <v>2068420</v>
      </c>
      <c r="D381">
        <v>8.6299999999999997e-05</v>
      </c>
    </row>
    <row r="382">
      <c r="A382" s="2">
        <v>3</v>
      </c>
      <c r="B382">
        <v>310.92599999999999</v>
      </c>
      <c r="C382">
        <v>2757893</v>
      </c>
      <c r="D382">
        <v>8.7700000000000004e-05</v>
      </c>
    </row>
    <row r="383">
      <c r="A383" s="2">
        <v>4</v>
      </c>
      <c r="B383">
        <v>310.92599999999999</v>
      </c>
      <c r="C383">
        <v>3447366</v>
      </c>
      <c r="D383">
        <v>8.9099999999999997e-05</v>
      </c>
    </row>
    <row r="384">
      <c r="A384" s="2">
        <v>5</v>
      </c>
      <c r="B384">
        <v>310.92599999999999</v>
      </c>
      <c r="C384">
        <v>4136840</v>
      </c>
      <c r="D384">
        <v>9.0500000000000004e-05</v>
      </c>
    </row>
    <row r="385">
      <c r="A385" s="2">
        <v>6</v>
      </c>
      <c r="B385">
        <v>310.92599999999999</v>
      </c>
      <c r="C385">
        <v>5515787</v>
      </c>
      <c r="D385">
        <v>9.3200000000000002e-05</v>
      </c>
    </row>
    <row r="386">
      <c r="A386" s="2">
        <v>7</v>
      </c>
      <c r="B386">
        <v>310.92599999999999</v>
      </c>
      <c r="C386">
        <v>6894733</v>
      </c>
      <c r="D386">
        <v>9.5600000000000006e-05</v>
      </c>
    </row>
    <row r="387">
      <c r="A387" s="2">
        <v>8</v>
      </c>
      <c r="B387">
        <v>310.92599999999999</v>
      </c>
      <c r="C387">
        <v>8618416</v>
      </c>
      <c r="D387">
        <v>9.87e-05</v>
      </c>
    </row>
    <row r="388">
      <c r="A388" s="2">
        <v>9</v>
      </c>
      <c r="B388">
        <v>310.92599999999999</v>
      </c>
      <c r="C388">
        <v>10342100</v>
      </c>
      <c r="D388">
        <v>0.00010170000000000001</v>
      </c>
    </row>
    <row r="389">
      <c r="A389" s="2">
        <v>10</v>
      </c>
      <c r="B389">
        <v>310.92599999999999</v>
      </c>
      <c r="C389">
        <v>12065780</v>
      </c>
      <c r="D389">
        <v>0.00010450000000000001</v>
      </c>
    </row>
    <row r="390">
      <c r="A390" s="2">
        <v>11</v>
      </c>
      <c r="B390">
        <v>310.92599999999999</v>
      </c>
      <c r="C390">
        <v>13789470</v>
      </c>
      <c r="D390">
        <v>0.00010739999999999999</v>
      </c>
    </row>
    <row r="391">
      <c r="A391" s="2">
        <v>12</v>
      </c>
      <c r="B391">
        <v>310.92599999999999</v>
      </c>
      <c r="C391">
        <v>17236830</v>
      </c>
      <c r="D391">
        <v>0.0001126</v>
      </c>
    </row>
    <row r="392">
      <c r="A392" s="2">
        <v>13</v>
      </c>
      <c r="B392">
        <v>310.92599999999999</v>
      </c>
      <c r="C392">
        <v>20684200</v>
      </c>
      <c r="D392">
        <v>0.0001176</v>
      </c>
    </row>
    <row r="393">
      <c r="A393" s="2">
        <v>14</v>
      </c>
      <c r="B393">
        <v>310.92599999999999</v>
      </c>
      <c r="C393">
        <v>24131570</v>
      </c>
      <c r="D393">
        <v>0.0001226</v>
      </c>
    </row>
    <row r="394">
      <c r="A394" s="2">
        <v>15</v>
      </c>
      <c r="B394">
        <v>310.92599999999999</v>
      </c>
      <c r="C394">
        <v>27578930</v>
      </c>
      <c r="D394">
        <v>0.00012750000000000001</v>
      </c>
    </row>
    <row r="395">
      <c r="A395" s="2">
        <v>16</v>
      </c>
      <c r="B395">
        <v>310.92599999999999</v>
      </c>
      <c r="C395">
        <v>31026300</v>
      </c>
      <c r="D395">
        <v>0.00013200000000000001</v>
      </c>
    </row>
    <row r="396">
      <c r="A396" s="2">
        <v>17</v>
      </c>
      <c r="B396">
        <v>310.92599999999999</v>
      </c>
      <c r="C396">
        <v>34473660</v>
      </c>
      <c r="D396">
        <v>0.00013669999999999999</v>
      </c>
    </row>
    <row r="397">
      <c r="A397" s="2">
        <v>18</v>
      </c>
      <c r="B397">
        <v>310.92599999999999</v>
      </c>
      <c r="C397">
        <v>41368400</v>
      </c>
      <c r="D397">
        <v>0.000145</v>
      </c>
    </row>
    <row r="398">
      <c r="A398" s="2">
        <v>19</v>
      </c>
      <c r="B398">
        <v>310.92599999999999</v>
      </c>
      <c r="C398">
        <v>48263130</v>
      </c>
      <c r="D398">
        <v>0.00015349999999999999</v>
      </c>
    </row>
    <row r="399">
      <c r="A399" s="2">
        <v>20</v>
      </c>
      <c r="B399">
        <v>310.92599999999999</v>
      </c>
      <c r="C399">
        <v>55157860</v>
      </c>
      <c r="D399">
        <v>0.00016100000000000001</v>
      </c>
    </row>
    <row r="400">
      <c r="A400" s="2">
        <v>21</v>
      </c>
      <c r="B400">
        <v>310.92599999999999</v>
      </c>
      <c r="C400">
        <v>62052600</v>
      </c>
      <c r="D400">
        <v>0.00016750000000000001</v>
      </c>
    </row>
    <row r="401">
      <c r="A401" s="2">
        <v>22</v>
      </c>
      <c r="B401">
        <v>310.92599999999999</v>
      </c>
      <c r="C401">
        <v>68947330</v>
      </c>
      <c r="D401">
        <v>0.000174</v>
      </c>
    </row>
    <row r="402">
      <c r="A402" s="2">
        <v>23</v>
      </c>
      <c r="B402">
        <v>327.59199999999998</v>
      </c>
      <c r="C402">
        <v>2068420</v>
      </c>
      <c r="D402">
        <v>7.1000000000000005e-05</v>
      </c>
    </row>
    <row r="403">
      <c r="A403" s="2">
        <v>24</v>
      </c>
      <c r="B403">
        <v>327.59199999999998</v>
      </c>
      <c r="C403">
        <v>2757893</v>
      </c>
      <c r="D403">
        <v>7.25e-05</v>
      </c>
    </row>
    <row r="404">
      <c r="A404" s="2">
        <v>25</v>
      </c>
      <c r="B404">
        <v>327.59199999999998</v>
      </c>
      <c r="C404">
        <v>3447366</v>
      </c>
      <c r="D404">
        <v>7.4099999999999999e-05</v>
      </c>
    </row>
    <row r="405">
      <c r="A405" s="2">
        <v>26</v>
      </c>
      <c r="B405">
        <v>327.59199999999998</v>
      </c>
      <c r="C405">
        <v>4136840</v>
      </c>
      <c r="D405">
        <v>7.5500000000000006e-05</v>
      </c>
    </row>
    <row r="406">
      <c r="A406" s="2">
        <v>27</v>
      </c>
      <c r="B406">
        <v>327.59199999999998</v>
      </c>
      <c r="C406">
        <v>5515787</v>
      </c>
      <c r="D406">
        <v>7.8499999999999997e-05</v>
      </c>
    </row>
    <row r="407">
      <c r="A407" s="2">
        <v>28</v>
      </c>
      <c r="B407">
        <v>327.59199999999998</v>
      </c>
      <c r="C407">
        <v>6894733</v>
      </c>
      <c r="D407">
        <v>8.14e-05</v>
      </c>
    </row>
    <row r="408">
      <c r="A408" s="2">
        <v>29</v>
      </c>
      <c r="B408">
        <v>327.59199999999998</v>
      </c>
      <c r="C408">
        <v>8618416</v>
      </c>
      <c r="D408">
        <v>8.4599999999999996e-05</v>
      </c>
    </row>
    <row r="409">
      <c r="A409" s="2">
        <v>30</v>
      </c>
      <c r="B409">
        <v>327.59199999999998</v>
      </c>
      <c r="C409">
        <v>10342100</v>
      </c>
      <c r="D409">
        <v>8.7700000000000004e-05</v>
      </c>
    </row>
    <row r="410">
      <c r="A410" s="2">
        <v>31</v>
      </c>
      <c r="B410">
        <v>327.59199999999998</v>
      </c>
      <c r="C410">
        <v>12065780</v>
      </c>
      <c r="D410">
        <v>9.0600000000000007e-05</v>
      </c>
    </row>
    <row r="411">
      <c r="A411" s="2">
        <v>32</v>
      </c>
      <c r="B411">
        <v>327.59199999999998</v>
      </c>
      <c r="C411">
        <v>13789470</v>
      </c>
      <c r="D411">
        <v>9.3499999999999996e-05</v>
      </c>
    </row>
    <row r="412">
      <c r="A412" s="2">
        <v>33</v>
      </c>
      <c r="B412">
        <v>327.59199999999998</v>
      </c>
      <c r="C412">
        <v>17236830</v>
      </c>
      <c r="D412">
        <v>9.8800000000000003e-05</v>
      </c>
    </row>
    <row r="413">
      <c r="A413" s="2">
        <v>34</v>
      </c>
      <c r="B413">
        <v>327.59199999999998</v>
      </c>
      <c r="C413">
        <v>20684200</v>
      </c>
      <c r="D413">
        <v>0.0001037</v>
      </c>
    </row>
    <row r="414">
      <c r="A414" s="2">
        <v>35</v>
      </c>
      <c r="B414">
        <v>327.59199999999998</v>
      </c>
      <c r="C414">
        <v>24131570</v>
      </c>
      <c r="D414">
        <v>0.00010849999999999999</v>
      </c>
    </row>
    <row r="415">
      <c r="A415" s="2">
        <v>36</v>
      </c>
      <c r="B415">
        <v>327.59199999999998</v>
      </c>
      <c r="C415">
        <v>27578930</v>
      </c>
      <c r="D415">
        <v>0.0001132</v>
      </c>
    </row>
    <row r="416">
      <c r="A416" s="2">
        <v>37</v>
      </c>
      <c r="B416">
        <v>327.59199999999998</v>
      </c>
      <c r="C416">
        <v>31026300</v>
      </c>
      <c r="D416">
        <v>0.0001177</v>
      </c>
    </row>
    <row r="417">
      <c r="A417" s="2">
        <v>38</v>
      </c>
      <c r="B417">
        <v>327.59199999999998</v>
      </c>
      <c r="C417">
        <v>34473660</v>
      </c>
      <c r="D417">
        <v>0.000122</v>
      </c>
    </row>
    <row r="418">
      <c r="A418" s="2">
        <v>39</v>
      </c>
      <c r="B418">
        <v>327.59199999999998</v>
      </c>
      <c r="C418">
        <v>41368400</v>
      </c>
      <c r="D418">
        <v>0.0001305</v>
      </c>
    </row>
    <row r="419">
      <c r="A419" s="2">
        <v>40</v>
      </c>
      <c r="B419">
        <v>327.59199999999998</v>
      </c>
      <c r="C419">
        <v>48263130</v>
      </c>
      <c r="D419">
        <v>0.00013850000000000001</v>
      </c>
    </row>
    <row r="420">
      <c r="A420" s="2">
        <v>41</v>
      </c>
      <c r="B420">
        <v>327.59199999999998</v>
      </c>
      <c r="C420">
        <v>55157860</v>
      </c>
      <c r="D420">
        <v>0.00014630000000000001</v>
      </c>
    </row>
    <row r="421">
      <c r="A421" s="2">
        <v>42</v>
      </c>
      <c r="B421">
        <v>327.59199999999998</v>
      </c>
      <c r="C421">
        <v>62052600</v>
      </c>
      <c r="D421">
        <v>0.000154</v>
      </c>
    </row>
    <row r="422">
      <c r="A422" s="2">
        <v>43</v>
      </c>
      <c r="B422">
        <v>327.59199999999998</v>
      </c>
      <c r="C422">
        <v>68947330</v>
      </c>
      <c r="D422">
        <v>0.00016129999999999999</v>
      </c>
    </row>
    <row r="423">
      <c r="A423" s="2">
        <v>44</v>
      </c>
      <c r="B423">
        <v>344.25900000000001</v>
      </c>
      <c r="C423">
        <v>2068420</v>
      </c>
      <c r="D423">
        <v>1.0200000000000001e-05</v>
      </c>
    </row>
    <row r="424">
      <c r="A424" s="2">
        <v>45</v>
      </c>
      <c r="B424">
        <v>344.25900000000001</v>
      </c>
      <c r="C424">
        <v>2757893</v>
      </c>
      <c r="D424">
        <v>5.6199999999999997e-05</v>
      </c>
    </row>
    <row r="425">
      <c r="A425" s="2">
        <v>46</v>
      </c>
      <c r="B425">
        <v>344.25900000000001</v>
      </c>
      <c r="C425">
        <v>3447366</v>
      </c>
      <c r="D425">
        <v>5.8799999999999999e-05</v>
      </c>
    </row>
    <row r="426">
      <c r="A426" s="2">
        <v>47</v>
      </c>
      <c r="B426">
        <v>344.25900000000001</v>
      </c>
      <c r="C426">
        <v>4136840</v>
      </c>
      <c r="D426">
        <v>6.0999999999999999e-05</v>
      </c>
    </row>
    <row r="427">
      <c r="A427" s="2">
        <v>48</v>
      </c>
      <c r="B427">
        <v>344.25900000000001</v>
      </c>
      <c r="C427">
        <v>5515787</v>
      </c>
      <c r="D427">
        <v>6.4999999999999994e-05</v>
      </c>
    </row>
    <row r="428">
      <c r="A428" s="2">
        <v>49</v>
      </c>
      <c r="B428">
        <v>344.25900000000001</v>
      </c>
      <c r="C428">
        <v>6894733</v>
      </c>
      <c r="D428">
        <v>6.8200000000000004e-05</v>
      </c>
    </row>
    <row r="429">
      <c r="A429" s="2">
        <v>50</v>
      </c>
      <c r="B429">
        <v>344.25900000000001</v>
      </c>
      <c r="C429">
        <v>8618416</v>
      </c>
      <c r="D429">
        <v>7.1799999999999997e-05</v>
      </c>
    </row>
    <row r="430">
      <c r="A430" s="2">
        <v>51</v>
      </c>
      <c r="B430">
        <v>344.25900000000001</v>
      </c>
      <c r="C430">
        <v>10342100</v>
      </c>
      <c r="D430">
        <v>7.5300000000000001e-05</v>
      </c>
    </row>
    <row r="431">
      <c r="A431" s="2">
        <v>52</v>
      </c>
      <c r="B431">
        <v>344.25900000000001</v>
      </c>
      <c r="C431">
        <v>12065780</v>
      </c>
      <c r="D431">
        <v>7.8499999999999997e-05</v>
      </c>
    </row>
    <row r="432">
      <c r="A432" s="2">
        <v>53</v>
      </c>
      <c r="B432">
        <v>344.25900000000001</v>
      </c>
      <c r="C432">
        <v>13789470</v>
      </c>
      <c r="D432">
        <v>8.1500000000000002e-05</v>
      </c>
    </row>
    <row r="433">
      <c r="A433" s="2">
        <v>54</v>
      </c>
      <c r="B433">
        <v>344.25900000000001</v>
      </c>
      <c r="C433">
        <v>17236830</v>
      </c>
      <c r="D433">
        <v>8.7000000000000001e-05</v>
      </c>
    </row>
    <row r="434">
      <c r="A434" s="2">
        <v>55</v>
      </c>
      <c r="B434">
        <v>344.25900000000001</v>
      </c>
      <c r="C434">
        <v>20684200</v>
      </c>
      <c r="D434">
        <v>9.2200000000000005e-05</v>
      </c>
    </row>
    <row r="435">
      <c r="A435" s="2">
        <v>56</v>
      </c>
      <c r="B435">
        <v>344.25900000000001</v>
      </c>
      <c r="C435">
        <v>24131570</v>
      </c>
      <c r="D435">
        <v>9.7e-05</v>
      </c>
    </row>
    <row r="436">
      <c r="A436" s="2">
        <v>57</v>
      </c>
      <c r="B436">
        <v>344.25900000000001</v>
      </c>
      <c r="C436">
        <v>27578930</v>
      </c>
      <c r="D436">
        <v>0.0001016</v>
      </c>
    </row>
    <row r="437">
      <c r="A437" s="2">
        <v>58</v>
      </c>
      <c r="B437">
        <v>344.25900000000001</v>
      </c>
      <c r="C437">
        <v>31026300</v>
      </c>
      <c r="D437">
        <v>0.0001059</v>
      </c>
    </row>
    <row r="438">
      <c r="A438" s="2">
        <v>59</v>
      </c>
      <c r="B438">
        <v>344.25900000000001</v>
      </c>
      <c r="C438">
        <v>34473660</v>
      </c>
      <c r="D438">
        <v>0.0001102</v>
      </c>
    </row>
    <row r="439">
      <c r="A439" s="2">
        <v>60</v>
      </c>
      <c r="B439">
        <v>344.25900000000001</v>
      </c>
      <c r="C439">
        <v>41368400</v>
      </c>
      <c r="D439">
        <v>0.0001182</v>
      </c>
    </row>
    <row r="440">
      <c r="A440" s="2">
        <v>61</v>
      </c>
      <c r="B440">
        <v>344.25900000000001</v>
      </c>
      <c r="C440">
        <v>48263130</v>
      </c>
      <c r="D440">
        <v>0.00012569999999999999</v>
      </c>
    </row>
    <row r="441">
      <c r="A441" s="2">
        <v>62</v>
      </c>
      <c r="B441">
        <v>344.25900000000001</v>
      </c>
      <c r="C441">
        <v>55157860</v>
      </c>
      <c r="D441">
        <v>0.00013329999999999999</v>
      </c>
    </row>
    <row r="442">
      <c r="A442" s="2">
        <v>63</v>
      </c>
      <c r="B442">
        <v>344.25900000000001</v>
      </c>
      <c r="C442">
        <v>62052600</v>
      </c>
      <c r="D442">
        <v>0.0001406</v>
      </c>
    </row>
    <row r="443">
      <c r="A443" s="2">
        <v>64</v>
      </c>
      <c r="B443">
        <v>344.25900000000001</v>
      </c>
      <c r="C443">
        <v>68947330</v>
      </c>
      <c r="D443">
        <v>0.00014779999999999999</v>
      </c>
    </row>
    <row r="444">
      <c r="A444" s="2">
        <v>65</v>
      </c>
      <c r="B444">
        <v>360.92599999999999</v>
      </c>
      <c r="C444">
        <v>4136840</v>
      </c>
      <c r="D444">
        <v>4.5399999999999999e-05</v>
      </c>
    </row>
    <row r="445">
      <c r="A445" s="2">
        <v>66</v>
      </c>
      <c r="B445">
        <v>360.92599999999999</v>
      </c>
      <c r="C445">
        <v>5515787</v>
      </c>
      <c r="D445">
        <v>5.1999999999999997e-05</v>
      </c>
    </row>
    <row r="446">
      <c r="A446" s="2">
        <v>67</v>
      </c>
      <c r="B446">
        <v>360.92599999999999</v>
      </c>
      <c r="C446">
        <v>6894733</v>
      </c>
      <c r="D446">
        <v>5.5999999999999999e-05</v>
      </c>
    </row>
    <row r="447">
      <c r="A447" s="2">
        <v>68</v>
      </c>
      <c r="B447">
        <v>360.92599999999999</v>
      </c>
      <c r="C447">
        <v>8618416</v>
      </c>
      <c r="D447">
        <v>6.05e-05</v>
      </c>
    </row>
    <row r="448">
      <c r="A448" s="2">
        <v>69</v>
      </c>
      <c r="B448">
        <v>360.92599999999999</v>
      </c>
      <c r="C448">
        <v>10342100</v>
      </c>
      <c r="D448">
        <v>6.4499999999999996e-05</v>
      </c>
    </row>
    <row r="449">
      <c r="A449" s="2">
        <v>70</v>
      </c>
      <c r="B449">
        <v>360.92599999999999</v>
      </c>
      <c r="C449">
        <v>12065780</v>
      </c>
      <c r="D449">
        <v>6.7500000000000001e-05</v>
      </c>
    </row>
    <row r="450">
      <c r="A450" s="2">
        <v>71</v>
      </c>
      <c r="B450">
        <v>360.92599999999999</v>
      </c>
      <c r="C450">
        <v>13789470</v>
      </c>
      <c r="D450">
        <v>7.0500000000000006e-05</v>
      </c>
    </row>
    <row r="451">
      <c r="A451" s="2">
        <v>72</v>
      </c>
      <c r="B451">
        <v>360.92599999999999</v>
      </c>
      <c r="C451">
        <v>17236830</v>
      </c>
      <c r="D451">
        <v>7.6199999999999995e-05</v>
      </c>
    </row>
    <row r="452">
      <c r="A452" s="2">
        <v>73</v>
      </c>
      <c r="B452">
        <v>360.92599999999999</v>
      </c>
      <c r="C452">
        <v>20684200</v>
      </c>
      <c r="D452">
        <v>8.1500000000000002e-05</v>
      </c>
    </row>
    <row r="453">
      <c r="A453" s="2">
        <v>74</v>
      </c>
      <c r="B453">
        <v>360.92599999999999</v>
      </c>
      <c r="C453">
        <v>24131570</v>
      </c>
      <c r="D453">
        <v>8.6100000000000006e-05</v>
      </c>
    </row>
    <row r="454">
      <c r="A454" s="2">
        <v>75</v>
      </c>
      <c r="B454">
        <v>360.92599999999999</v>
      </c>
      <c r="C454">
        <v>27578930</v>
      </c>
      <c r="D454">
        <v>9.1000000000000003e-05</v>
      </c>
    </row>
    <row r="455">
      <c r="A455" s="2">
        <v>76</v>
      </c>
      <c r="B455">
        <v>360.92599999999999</v>
      </c>
      <c r="C455">
        <v>31026300</v>
      </c>
      <c r="D455">
        <v>9.5400000000000001e-05</v>
      </c>
    </row>
    <row r="456">
      <c r="A456" s="2">
        <v>77</v>
      </c>
      <c r="B456">
        <v>360.92599999999999</v>
      </c>
      <c r="C456">
        <v>34473660</v>
      </c>
      <c r="D456">
        <v>9.9599999999999995e-05</v>
      </c>
    </row>
    <row r="457">
      <c r="A457" s="2">
        <v>78</v>
      </c>
      <c r="B457">
        <v>360.92599999999999</v>
      </c>
      <c r="C457">
        <v>41368400</v>
      </c>
      <c r="D457">
        <v>0.0001077</v>
      </c>
    </row>
    <row r="458">
      <c r="A458" s="2">
        <v>79</v>
      </c>
      <c r="B458">
        <v>360.92599999999999</v>
      </c>
      <c r="C458">
        <v>48263130</v>
      </c>
      <c r="D458">
        <v>0.0001155</v>
      </c>
    </row>
    <row r="459">
      <c r="A459" s="2">
        <v>80</v>
      </c>
      <c r="B459">
        <v>360.92599999999999</v>
      </c>
      <c r="C459">
        <v>55157860</v>
      </c>
      <c r="D459">
        <v>0.00012310000000000001</v>
      </c>
    </row>
    <row r="460">
      <c r="A460" s="2">
        <v>81</v>
      </c>
      <c r="B460">
        <v>360.92599999999999</v>
      </c>
      <c r="C460">
        <v>62052600</v>
      </c>
      <c r="D460">
        <v>0.0001303</v>
      </c>
    </row>
    <row r="461">
      <c r="A461" s="2">
        <v>82</v>
      </c>
      <c r="B461">
        <v>360.92599999999999</v>
      </c>
      <c r="C461">
        <v>68947330</v>
      </c>
      <c r="D461">
        <v>0.00013750000000000001</v>
      </c>
    </row>
    <row r="462">
      <c r="A462" s="3" t="s">
        <v>46</v>
      </c>
      <c r="B462" s="3"/>
      <c r="C462" s="3"/>
      <c r="D462" s="3"/>
    </row>
    <row r="463">
      <c r="A463" s="2">
        <v>1</v>
      </c>
      <c r="B463" t="s">
        <v>64</v>
      </c>
      <c r="C463" t="s">
        <v>67</v>
      </c>
    </row>
    <row r="464">
      <c r="A464" s="2">
        <v>2</v>
      </c>
      <c r="B464" t="s">
        <v>65</v>
      </c>
      <c r="C464" t="s">
        <v>68</v>
      </c>
    </row>
    <row r="465">
      <c r="A465" s="2">
        <v>3</v>
      </c>
      <c r="B465" t="s">
        <v>40</v>
      </c>
      <c r="C465" t="s">
        <v>69</v>
      </c>
    </row>
    <row r="466">
      <c r="A466" s="3" t="s">
        <v>51</v>
      </c>
      <c r="B466" s="0"/>
      <c r="C466" s="0"/>
      <c r="D466" s="0"/>
    </row>
    <row r="467">
      <c r="A467" s="2">
        <v>1</v>
      </c>
      <c r="B467">
        <f>HYPERLINK("#Components!A1","74-98-6")</f>
      </c>
      <c r="C467" t="s">
        <v>0</v>
      </c>
    </row>
    <row r="468">
      <c r="A468" s="3" t="s">
        <v>52</v>
      </c>
      <c r="B468" s="0"/>
      <c r="C468" s="0"/>
      <c r="D468" s="0"/>
    </row>
    <row r="469">
      <c r="A469" s="2" t="s">
        <v>53</v>
      </c>
      <c r="B469" t="s">
        <v>70</v>
      </c>
    </row>
    <row r="470">
      <c r="A470" s="2" t="s">
        <v>55</v>
      </c>
      <c r="B470">
        <f>HYPERLINK("#References!A14","DELI-037050")</f>
      </c>
    </row>
    <row r="472">
      <c r="A472" s="1" t="s">
        <v>66</v>
      </c>
      <c r="B472" s="1"/>
      <c r="C472" s="1"/>
      <c r="D472" s="1"/>
    </row>
    <row r="473">
      <c r="A473" s="2" t="s">
        <v>35</v>
      </c>
      <c r="B473" s="2" t="s">
        <v>64</v>
      </c>
      <c r="C473" s="2" t="s">
        <v>65</v>
      </c>
      <c r="D473" s="2" t="s">
        <v>40</v>
      </c>
    </row>
    <row r="474">
      <c r="A474" s="2"/>
      <c r="B474" s="2"/>
      <c r="C474" s="2"/>
      <c r="D474" s="2"/>
    </row>
    <row r="475">
      <c r="A475" s="2"/>
      <c r="B475" s="2" t="s">
        <v>37</v>
      </c>
      <c r="C475" s="2" t="s">
        <v>39</v>
      </c>
      <c r="D475" s="2" t="s">
        <v>41</v>
      </c>
    </row>
    <row r="476">
      <c r="A476" s="2"/>
      <c r="B476" s="2">
        <v>1</v>
      </c>
      <c r="C476" s="2">
        <v>2</v>
      </c>
      <c r="D476" s="2">
        <v>3</v>
      </c>
    </row>
    <row r="477">
      <c r="A477" s="2">
        <v>1</v>
      </c>
      <c r="B477">
        <v>213.15000000000001</v>
      </c>
      <c r="C477">
        <v>85000</v>
      </c>
      <c r="D477">
        <v>0.00024479999999999999</v>
      </c>
    </row>
    <row r="478">
      <c r="A478" s="2">
        <v>2</v>
      </c>
      <c r="B478">
        <v>213.15000000000001</v>
      </c>
      <c r="C478">
        <v>2533000</v>
      </c>
      <c r="D478">
        <v>0.0002499</v>
      </c>
    </row>
    <row r="479">
      <c r="A479" s="2">
        <v>3</v>
      </c>
      <c r="B479">
        <v>213.15000000000001</v>
      </c>
      <c r="C479">
        <v>5215000</v>
      </c>
      <c r="D479">
        <v>0.00025720000000000002</v>
      </c>
    </row>
    <row r="480">
      <c r="A480" s="2">
        <v>4</v>
      </c>
      <c r="B480">
        <v>213.15000000000001</v>
      </c>
      <c r="C480">
        <v>7581000</v>
      </c>
      <c r="D480">
        <v>0.00026610000000000002</v>
      </c>
    </row>
    <row r="481">
      <c r="A481" s="2">
        <v>5</v>
      </c>
      <c r="B481">
        <v>223.15000000000001</v>
      </c>
      <c r="C481">
        <v>713000</v>
      </c>
      <c r="D481">
        <v>0.0002139</v>
      </c>
    </row>
    <row r="482">
      <c r="A482" s="2">
        <v>6</v>
      </c>
      <c r="B482">
        <v>223.15000000000001</v>
      </c>
      <c r="C482">
        <v>2542000</v>
      </c>
      <c r="D482">
        <v>0.00022149999999999999</v>
      </c>
    </row>
    <row r="483">
      <c r="A483" s="2">
        <v>7</v>
      </c>
      <c r="B483">
        <v>223.15000000000001</v>
      </c>
      <c r="C483">
        <v>5096000</v>
      </c>
      <c r="D483">
        <v>0.00022660000000000001</v>
      </c>
    </row>
    <row r="484">
      <c r="A484" s="2">
        <v>8</v>
      </c>
      <c r="B484">
        <v>223.15000000000001</v>
      </c>
      <c r="C484">
        <v>7595000</v>
      </c>
      <c r="D484">
        <v>0.00023250000000000001</v>
      </c>
    </row>
    <row r="485">
      <c r="A485" s="2">
        <v>9</v>
      </c>
      <c r="B485">
        <v>223.15000000000001</v>
      </c>
      <c r="C485">
        <v>10050000</v>
      </c>
      <c r="D485">
        <v>0.00024010000000000001</v>
      </c>
    </row>
    <row r="486">
      <c r="A486" s="2">
        <v>10</v>
      </c>
      <c r="B486">
        <v>223.15000000000001</v>
      </c>
      <c r="C486">
        <v>12472000</v>
      </c>
      <c r="D486">
        <v>0.0002475</v>
      </c>
    </row>
    <row r="487">
      <c r="A487" s="2">
        <v>11</v>
      </c>
      <c r="B487">
        <v>233.15000000000001</v>
      </c>
      <c r="C487">
        <v>112000</v>
      </c>
      <c r="D487">
        <v>0.00019249999999999999</v>
      </c>
    </row>
    <row r="488">
      <c r="A488" s="2">
        <v>12</v>
      </c>
      <c r="B488">
        <v>233.15000000000001</v>
      </c>
      <c r="C488">
        <v>2505000</v>
      </c>
      <c r="D488">
        <v>0.0001972</v>
      </c>
    </row>
    <row r="489">
      <c r="A489" s="2">
        <v>13</v>
      </c>
      <c r="B489">
        <v>233.15000000000001</v>
      </c>
      <c r="C489">
        <v>5025000</v>
      </c>
      <c r="D489">
        <v>0.00020210000000000001</v>
      </c>
    </row>
    <row r="490">
      <c r="A490" s="2">
        <v>14</v>
      </c>
      <c r="B490">
        <v>233.15000000000001</v>
      </c>
      <c r="C490">
        <v>7524000</v>
      </c>
      <c r="D490">
        <v>0.0002074</v>
      </c>
    </row>
    <row r="491">
      <c r="A491" s="2">
        <v>15</v>
      </c>
      <c r="B491">
        <v>233.15000000000001</v>
      </c>
      <c r="C491">
        <v>10051000</v>
      </c>
      <c r="D491">
        <v>0.00021230000000000001</v>
      </c>
    </row>
    <row r="492">
      <c r="A492" s="2">
        <v>16</v>
      </c>
      <c r="B492">
        <v>233.15000000000001</v>
      </c>
      <c r="C492">
        <v>12542000</v>
      </c>
      <c r="D492">
        <v>0.0002185</v>
      </c>
    </row>
    <row r="493">
      <c r="A493" s="2">
        <v>17</v>
      </c>
      <c r="B493">
        <v>243.15000000000001</v>
      </c>
      <c r="C493">
        <v>213000</v>
      </c>
      <c r="D493">
        <v>0.00017259999999999999</v>
      </c>
    </row>
    <row r="494">
      <c r="A494" s="2">
        <v>18</v>
      </c>
      <c r="B494">
        <v>243.15000000000001</v>
      </c>
      <c r="C494">
        <v>2519000</v>
      </c>
      <c r="D494">
        <v>0.00017679999999999999</v>
      </c>
    </row>
    <row r="495">
      <c r="A495" s="2">
        <v>19</v>
      </c>
      <c r="B495">
        <v>243.15000000000001</v>
      </c>
      <c r="C495">
        <v>5266000</v>
      </c>
      <c r="D495">
        <v>0.0001817</v>
      </c>
    </row>
    <row r="496">
      <c r="A496" s="2">
        <v>20</v>
      </c>
      <c r="B496">
        <v>243.15000000000001</v>
      </c>
      <c r="C496">
        <v>7709000</v>
      </c>
      <c r="D496">
        <v>0.00018650000000000001</v>
      </c>
    </row>
    <row r="497">
      <c r="A497" s="2">
        <v>21</v>
      </c>
      <c r="B497">
        <v>243.15000000000001</v>
      </c>
      <c r="C497">
        <v>10241000</v>
      </c>
      <c r="D497">
        <v>0.0001919</v>
      </c>
    </row>
    <row r="498">
      <c r="A498" s="2">
        <v>22</v>
      </c>
      <c r="B498">
        <v>243.15000000000001</v>
      </c>
      <c r="C498">
        <v>12846000</v>
      </c>
      <c r="D498">
        <v>0.00019770000000000001</v>
      </c>
    </row>
    <row r="499">
      <c r="A499" s="2">
        <v>23</v>
      </c>
      <c r="B499">
        <v>253.15000000000001</v>
      </c>
      <c r="C499">
        <v>343000</v>
      </c>
      <c r="D499">
        <v>0.00015540000000000001</v>
      </c>
    </row>
    <row r="500">
      <c r="A500" s="2">
        <v>24</v>
      </c>
      <c r="B500">
        <v>253.15000000000001</v>
      </c>
      <c r="C500">
        <v>2775000</v>
      </c>
      <c r="D500">
        <v>0.00015919999999999999</v>
      </c>
    </row>
    <row r="501">
      <c r="A501" s="2">
        <v>25</v>
      </c>
      <c r="B501">
        <v>253.15000000000001</v>
      </c>
      <c r="C501">
        <v>5337000</v>
      </c>
      <c r="D501">
        <v>0.0001649</v>
      </c>
    </row>
    <row r="502">
      <c r="A502" s="2">
        <v>26</v>
      </c>
      <c r="B502">
        <v>253.15000000000001</v>
      </c>
      <c r="C502">
        <v>7748000</v>
      </c>
      <c r="D502">
        <v>0.0001695</v>
      </c>
    </row>
    <row r="503">
      <c r="A503" s="2">
        <v>27</v>
      </c>
      <c r="B503">
        <v>253.15000000000001</v>
      </c>
      <c r="C503">
        <v>10445000</v>
      </c>
      <c r="D503">
        <v>0.0001729</v>
      </c>
    </row>
    <row r="504">
      <c r="A504" s="2">
        <v>28</v>
      </c>
      <c r="B504">
        <v>253.15000000000001</v>
      </c>
      <c r="C504">
        <v>12790000</v>
      </c>
      <c r="D504">
        <v>0.0001773</v>
      </c>
    </row>
    <row r="505">
      <c r="A505" s="2">
        <v>29</v>
      </c>
      <c r="B505">
        <v>263.14999999999998</v>
      </c>
      <c r="C505">
        <v>347000</v>
      </c>
      <c r="D505">
        <v>0.00013789999999999999</v>
      </c>
    </row>
    <row r="506">
      <c r="A506" s="2">
        <v>30</v>
      </c>
      <c r="B506">
        <v>263.14999999999998</v>
      </c>
      <c r="C506">
        <v>2520000</v>
      </c>
      <c r="D506">
        <v>0.00014349999999999999</v>
      </c>
    </row>
    <row r="507">
      <c r="A507" s="2">
        <v>31</v>
      </c>
      <c r="B507">
        <v>263.14999999999998</v>
      </c>
      <c r="C507">
        <v>5199000</v>
      </c>
      <c r="D507">
        <v>0.0001474</v>
      </c>
    </row>
    <row r="508">
      <c r="A508" s="2">
        <v>32</v>
      </c>
      <c r="B508">
        <v>263.14999999999998</v>
      </c>
      <c r="C508">
        <v>7705000</v>
      </c>
      <c r="D508">
        <v>0.00015220000000000001</v>
      </c>
    </row>
    <row r="509">
      <c r="A509" s="2">
        <v>33</v>
      </c>
      <c r="B509">
        <v>263.14999999999998</v>
      </c>
      <c r="C509">
        <v>10431000</v>
      </c>
      <c r="D509">
        <v>0.00015699999999999999</v>
      </c>
    </row>
    <row r="510">
      <c r="A510" s="2">
        <v>34</v>
      </c>
      <c r="B510">
        <v>263.14999999999998</v>
      </c>
      <c r="C510">
        <v>12915000</v>
      </c>
      <c r="D510">
        <v>0.00016129999999999999</v>
      </c>
    </row>
    <row r="511">
      <c r="A511" s="2">
        <v>35</v>
      </c>
      <c r="B511">
        <v>273.14999999999998</v>
      </c>
      <c r="C511">
        <v>902000</v>
      </c>
      <c r="D511">
        <v>0.00012559999999999999</v>
      </c>
    </row>
    <row r="512">
      <c r="A512" s="2">
        <v>36</v>
      </c>
      <c r="B512">
        <v>273.14999999999998</v>
      </c>
      <c r="C512">
        <v>3518000</v>
      </c>
      <c r="D512">
        <v>0.00013009999999999999</v>
      </c>
    </row>
    <row r="513">
      <c r="A513" s="2">
        <v>37</v>
      </c>
      <c r="B513">
        <v>273.14999999999998</v>
      </c>
      <c r="C513">
        <v>6239000</v>
      </c>
      <c r="D513">
        <v>0.00013569999999999999</v>
      </c>
    </row>
    <row r="514">
      <c r="A514" s="2">
        <v>38</v>
      </c>
      <c r="B514">
        <v>273.14999999999998</v>
      </c>
      <c r="C514">
        <v>8925000</v>
      </c>
      <c r="D514">
        <v>0.00014129999999999999</v>
      </c>
    </row>
    <row r="515">
      <c r="A515" s="2">
        <v>39</v>
      </c>
      <c r="B515">
        <v>273.14999999999998</v>
      </c>
      <c r="C515">
        <v>12184000</v>
      </c>
      <c r="D515">
        <v>0.0001459</v>
      </c>
    </row>
    <row r="516">
      <c r="A516" s="3" t="s">
        <v>46</v>
      </c>
      <c r="B516" s="3"/>
      <c r="C516" s="3"/>
      <c r="D516" s="3"/>
    </row>
    <row r="517">
      <c r="A517" s="2">
        <v>1</v>
      </c>
      <c r="B517" t="s">
        <v>64</v>
      </c>
      <c r="C517" t="s">
        <v>67</v>
      </c>
    </row>
    <row r="518">
      <c r="A518" s="2">
        <v>2</v>
      </c>
      <c r="B518" t="s">
        <v>65</v>
      </c>
      <c r="C518" t="s">
        <v>68</v>
      </c>
    </row>
    <row r="519">
      <c r="A519" s="2">
        <v>3</v>
      </c>
      <c r="B519" t="s">
        <v>40</v>
      </c>
      <c r="C519" t="s">
        <v>69</v>
      </c>
    </row>
    <row r="520">
      <c r="A520" s="3" t="s">
        <v>51</v>
      </c>
      <c r="B520" s="0"/>
      <c r="C520" s="0"/>
      <c r="D520" s="0"/>
    </row>
    <row r="521">
      <c r="A521" s="2">
        <v>1</v>
      </c>
      <c r="B521">
        <f>HYPERLINK("#Components!A1","74-98-6")</f>
      </c>
      <c r="C521" t="s">
        <v>0</v>
      </c>
    </row>
    <row r="522">
      <c r="A522" s="3" t="s">
        <v>52</v>
      </c>
      <c r="B522" s="0"/>
      <c r="C522" s="0"/>
      <c r="D522" s="0"/>
    </row>
    <row r="523">
      <c r="A523" s="2" t="s">
        <v>53</v>
      </c>
      <c r="B523" t="s">
        <v>80</v>
      </c>
    </row>
    <row r="524">
      <c r="A524" s="2" t="s">
        <v>55</v>
      </c>
      <c r="B524">
        <f>HYPERLINK("#References!A23","DELI-120450")</f>
      </c>
    </row>
    <row r="526">
      <c r="A526" s="1" t="s">
        <v>66</v>
      </c>
      <c r="B526" s="1"/>
      <c r="C526" s="1"/>
      <c r="D526" s="1"/>
    </row>
    <row r="527">
      <c r="A527" s="2" t="s">
        <v>35</v>
      </c>
      <c r="B527" s="2" t="s">
        <v>64</v>
      </c>
      <c r="C527" s="2" t="s">
        <v>65</v>
      </c>
      <c r="D527" s="2" t="s">
        <v>40</v>
      </c>
    </row>
    <row r="528">
      <c r="A528" s="2"/>
      <c r="B528" s="2"/>
      <c r="C528" s="2"/>
      <c r="D528" s="2"/>
    </row>
    <row r="529">
      <c r="A529" s="2"/>
      <c r="B529" s="2" t="s">
        <v>37</v>
      </c>
      <c r="C529" s="2" t="s">
        <v>39</v>
      </c>
      <c r="D529" s="2" t="s">
        <v>41</v>
      </c>
    </row>
    <row r="530">
      <c r="A530" s="2"/>
      <c r="B530" s="2">
        <v>1</v>
      </c>
      <c r="C530" s="2">
        <v>2</v>
      </c>
      <c r="D530" s="2">
        <v>3</v>
      </c>
    </row>
    <row r="531">
      <c r="A531" s="2">
        <v>1</v>
      </c>
      <c r="B531">
        <v>300</v>
      </c>
      <c r="C531">
        <v>2521300</v>
      </c>
      <c r="D531">
        <v>9.8690000000000005e-05</v>
      </c>
    </row>
    <row r="532">
      <c r="A532" s="2">
        <v>2</v>
      </c>
      <c r="B532">
        <v>300</v>
      </c>
      <c r="C532">
        <v>5010500</v>
      </c>
      <c r="D532">
        <v>0.00010294</v>
      </c>
    </row>
    <row r="533">
      <c r="A533" s="2">
        <v>3</v>
      </c>
      <c r="B533">
        <v>300</v>
      </c>
      <c r="C533">
        <v>8061200</v>
      </c>
      <c r="D533">
        <v>0.00010801</v>
      </c>
    </row>
    <row r="534">
      <c r="A534" s="2">
        <v>4</v>
      </c>
      <c r="B534">
        <v>300</v>
      </c>
      <c r="C534">
        <v>10314300</v>
      </c>
      <c r="D534">
        <v>0.00011195</v>
      </c>
    </row>
    <row r="535">
      <c r="A535" s="2">
        <v>5</v>
      </c>
      <c r="B535">
        <v>300</v>
      </c>
      <c r="C535">
        <v>14486700</v>
      </c>
      <c r="D535">
        <v>0.00011854</v>
      </c>
    </row>
    <row r="536">
      <c r="A536" s="2">
        <v>6</v>
      </c>
      <c r="B536">
        <v>300</v>
      </c>
      <c r="C536">
        <v>17933900</v>
      </c>
      <c r="D536">
        <v>0.00012432</v>
      </c>
    </row>
    <row r="537">
      <c r="A537" s="2">
        <v>7</v>
      </c>
      <c r="B537">
        <v>300</v>
      </c>
      <c r="C537">
        <v>21511500</v>
      </c>
      <c r="D537">
        <v>0.0001294</v>
      </c>
    </row>
    <row r="538">
      <c r="A538" s="2">
        <v>8</v>
      </c>
      <c r="B538">
        <v>300</v>
      </c>
      <c r="C538">
        <v>24552200</v>
      </c>
      <c r="D538">
        <v>0.00013540000000000001</v>
      </c>
    </row>
    <row r="539">
      <c r="A539" s="2">
        <v>9</v>
      </c>
      <c r="B539">
        <v>300</v>
      </c>
      <c r="C539">
        <v>27961800</v>
      </c>
      <c r="D539">
        <v>0.00013951999999999999</v>
      </c>
    </row>
    <row r="540">
      <c r="A540" s="2">
        <v>10</v>
      </c>
      <c r="B540">
        <v>300</v>
      </c>
      <c r="C540">
        <v>31481900</v>
      </c>
      <c r="D540">
        <v>0.00014248</v>
      </c>
    </row>
    <row r="541">
      <c r="A541" s="2">
        <v>11</v>
      </c>
      <c r="B541">
        <v>140</v>
      </c>
      <c r="C541">
        <v>2956000</v>
      </c>
      <c r="D541">
        <v>0.00085002000000000005</v>
      </c>
    </row>
    <row r="542">
      <c r="A542" s="2">
        <v>12</v>
      </c>
      <c r="B542">
        <v>140</v>
      </c>
      <c r="C542">
        <v>7234500</v>
      </c>
      <c r="D542">
        <v>0.00087505000000000005</v>
      </c>
    </row>
    <row r="543">
      <c r="A543" s="2">
        <v>13</v>
      </c>
      <c r="B543">
        <v>140</v>
      </c>
      <c r="C543">
        <v>10587400</v>
      </c>
      <c r="D543">
        <v>0.00089072999999999995</v>
      </c>
    </row>
    <row r="544">
      <c r="A544" s="2">
        <v>14</v>
      </c>
      <c r="B544">
        <v>140</v>
      </c>
      <c r="C544">
        <v>14129600</v>
      </c>
      <c r="D544">
        <v>0.00093959999999999996</v>
      </c>
    </row>
    <row r="545">
      <c r="A545" s="2">
        <v>15</v>
      </c>
      <c r="B545">
        <v>140</v>
      </c>
      <c r="C545">
        <v>17601800</v>
      </c>
      <c r="D545">
        <v>0.00097871000000000004</v>
      </c>
    </row>
    <row r="546">
      <c r="A546" s="2">
        <v>16</v>
      </c>
      <c r="B546">
        <v>140</v>
      </c>
      <c r="C546">
        <v>21284000</v>
      </c>
      <c r="D546">
        <v>0.00099679999999999994</v>
      </c>
    </row>
    <row r="547">
      <c r="A547" s="2">
        <v>17</v>
      </c>
      <c r="B547">
        <v>140</v>
      </c>
      <c r="C547">
        <v>24596800</v>
      </c>
      <c r="D547">
        <v>0.00099901999999999999</v>
      </c>
    </row>
    <row r="548">
      <c r="A548" s="2">
        <v>18</v>
      </c>
      <c r="B548">
        <v>140</v>
      </c>
      <c r="C548">
        <v>27930700</v>
      </c>
      <c r="D548">
        <v>0.0010541000000000001</v>
      </c>
    </row>
    <row r="549">
      <c r="A549" s="2">
        <v>19</v>
      </c>
      <c r="B549">
        <v>140</v>
      </c>
      <c r="C549">
        <v>31488700</v>
      </c>
      <c r="D549">
        <v>0.0010828999999999999</v>
      </c>
    </row>
    <row r="550">
      <c r="A550" s="2">
        <v>20</v>
      </c>
      <c r="B550">
        <v>110</v>
      </c>
      <c r="C550">
        <v>3058400</v>
      </c>
      <c r="D550">
        <v>0.0023509999999999998</v>
      </c>
    </row>
    <row r="551">
      <c r="A551" s="2">
        <v>21</v>
      </c>
      <c r="B551">
        <v>110</v>
      </c>
      <c r="C551">
        <v>7007900</v>
      </c>
      <c r="D551">
        <v>0.0024483999999999999</v>
      </c>
    </row>
    <row r="552">
      <c r="A552" s="2">
        <v>22</v>
      </c>
      <c r="B552">
        <v>110</v>
      </c>
      <c r="C552">
        <v>10484100</v>
      </c>
      <c r="D552">
        <v>0.0025073999999999999</v>
      </c>
    </row>
    <row r="553">
      <c r="A553" s="2">
        <v>23</v>
      </c>
      <c r="B553">
        <v>110</v>
      </c>
      <c r="C553">
        <v>13496600</v>
      </c>
      <c r="D553">
        <v>0.0025933000000000002</v>
      </c>
    </row>
    <row r="554">
      <c r="A554" s="2">
        <v>24</v>
      </c>
      <c r="B554">
        <v>110</v>
      </c>
      <c r="C554">
        <v>17649100</v>
      </c>
      <c r="D554">
        <v>0.0026900000000000001</v>
      </c>
    </row>
    <row r="555">
      <c r="A555" s="2">
        <v>25</v>
      </c>
      <c r="B555">
        <v>110</v>
      </c>
      <c r="C555">
        <v>21159200</v>
      </c>
      <c r="D555">
        <v>0.0027858000000000002</v>
      </c>
    </row>
    <row r="556">
      <c r="A556" s="2">
        <v>26</v>
      </c>
      <c r="B556">
        <v>110</v>
      </c>
      <c r="C556">
        <v>24379300</v>
      </c>
      <c r="D556">
        <v>0.0028752999999999999</v>
      </c>
    </row>
    <row r="557">
      <c r="A557" s="2">
        <v>27</v>
      </c>
      <c r="B557">
        <v>110</v>
      </c>
      <c r="C557">
        <v>27058700</v>
      </c>
      <c r="D557">
        <v>0.0029298000000000002</v>
      </c>
    </row>
    <row r="558">
      <c r="A558" s="2">
        <v>28</v>
      </c>
      <c r="B558">
        <v>100</v>
      </c>
      <c r="C558">
        <v>1704800</v>
      </c>
      <c r="D558">
        <v>0.0039443999999999998</v>
      </c>
    </row>
    <row r="559">
      <c r="A559" s="2">
        <v>29</v>
      </c>
      <c r="B559">
        <v>100</v>
      </c>
      <c r="C559">
        <v>4999700</v>
      </c>
      <c r="D559">
        <v>0.0039941999999999998</v>
      </c>
    </row>
    <row r="560">
      <c r="A560" s="2">
        <v>30</v>
      </c>
      <c r="B560">
        <v>100</v>
      </c>
      <c r="C560">
        <v>8462800</v>
      </c>
      <c r="D560">
        <v>0.0041392</v>
      </c>
    </row>
    <row r="561">
      <c r="A561" s="2">
        <v>31</v>
      </c>
      <c r="B561">
        <v>100</v>
      </c>
      <c r="C561">
        <v>12430900</v>
      </c>
      <c r="D561">
        <v>0.0043208999999999999</v>
      </c>
    </row>
    <row r="562">
      <c r="A562" s="2">
        <v>32</v>
      </c>
      <c r="B562">
        <v>100</v>
      </c>
      <c r="C562">
        <v>15508800</v>
      </c>
      <c r="D562">
        <v>0.0044742000000000002</v>
      </c>
    </row>
    <row r="563">
      <c r="A563" s="2">
        <v>33</v>
      </c>
      <c r="B563">
        <v>100</v>
      </c>
      <c r="C563">
        <v>19276000</v>
      </c>
      <c r="D563">
        <v>0.0047111999999999996</v>
      </c>
    </row>
    <row r="564">
      <c r="A564" s="2">
        <v>34</v>
      </c>
      <c r="B564">
        <v>100</v>
      </c>
      <c r="C564">
        <v>22562000</v>
      </c>
      <c r="D564">
        <v>0.0049360999999999997</v>
      </c>
    </row>
    <row r="565">
      <c r="A565" s="2">
        <v>35</v>
      </c>
      <c r="B565">
        <v>100</v>
      </c>
      <c r="C565">
        <v>26515500</v>
      </c>
      <c r="D565">
        <v>0.0050369000000000004</v>
      </c>
    </row>
    <row r="566">
      <c r="A566" s="2">
        <v>36</v>
      </c>
      <c r="B566">
        <v>100</v>
      </c>
      <c r="C566">
        <v>29319400</v>
      </c>
      <c r="D566">
        <v>0.0050812000000000001</v>
      </c>
    </row>
    <row r="567">
      <c r="A567" s="2">
        <v>37</v>
      </c>
      <c r="B567">
        <v>95</v>
      </c>
      <c r="C567">
        <v>1964000</v>
      </c>
      <c r="D567">
        <v>0.0052925000000000003</v>
      </c>
    </row>
    <row r="568">
      <c r="A568" s="2">
        <v>38</v>
      </c>
      <c r="B568">
        <v>95</v>
      </c>
      <c r="C568">
        <v>4966200</v>
      </c>
      <c r="D568">
        <v>0.0055595999999999996</v>
      </c>
    </row>
    <row r="569">
      <c r="A569" s="2">
        <v>39</v>
      </c>
      <c r="B569">
        <v>95</v>
      </c>
      <c r="C569">
        <v>8259100</v>
      </c>
      <c r="D569">
        <v>0.0056153000000000002</v>
      </c>
    </row>
    <row r="570">
      <c r="A570" s="2">
        <v>40</v>
      </c>
      <c r="B570">
        <v>95</v>
      </c>
      <c r="C570">
        <v>11792800</v>
      </c>
      <c r="D570">
        <v>0.0059924000000000002</v>
      </c>
    </row>
    <row r="571">
      <c r="A571" s="2">
        <v>41</v>
      </c>
      <c r="B571">
        <v>95</v>
      </c>
      <c r="C571">
        <v>15714800</v>
      </c>
      <c r="D571">
        <v>0.0062472999999999999</v>
      </c>
    </row>
    <row r="572">
      <c r="A572" s="2">
        <v>42</v>
      </c>
      <c r="B572">
        <v>95</v>
      </c>
      <c r="C572">
        <v>20191400</v>
      </c>
      <c r="D572">
        <v>0.0064774999999999998</v>
      </c>
    </row>
    <row r="573">
      <c r="A573" s="2">
        <v>43</v>
      </c>
      <c r="B573">
        <v>95</v>
      </c>
      <c r="C573">
        <v>23635900</v>
      </c>
      <c r="D573">
        <v>0.0066927999999999996</v>
      </c>
    </row>
    <row r="574">
      <c r="A574" s="2">
        <v>44</v>
      </c>
      <c r="B574">
        <v>95</v>
      </c>
      <c r="C574">
        <v>27155300</v>
      </c>
      <c r="D574">
        <v>0.0068472000000000003</v>
      </c>
    </row>
    <row r="575">
      <c r="A575" s="2">
        <v>45</v>
      </c>
      <c r="B575">
        <v>95</v>
      </c>
      <c r="C575">
        <v>30152600</v>
      </c>
      <c r="D575">
        <v>0.0074355000000000003</v>
      </c>
    </row>
    <row r="576">
      <c r="A576" s="2">
        <v>46</v>
      </c>
      <c r="B576">
        <v>90</v>
      </c>
      <c r="C576">
        <v>2408300</v>
      </c>
      <c r="D576">
        <v>0.0075797</v>
      </c>
    </row>
    <row r="577">
      <c r="A577" s="2">
        <v>47</v>
      </c>
      <c r="B577">
        <v>90</v>
      </c>
      <c r="C577">
        <v>4727500</v>
      </c>
      <c r="D577">
        <v>0.0077409999999999996</v>
      </c>
    </row>
    <row r="578">
      <c r="A578" s="2">
        <v>48</v>
      </c>
      <c r="B578">
        <v>90</v>
      </c>
      <c r="C578">
        <v>7296000</v>
      </c>
      <c r="D578">
        <v>0.0079792000000000005</v>
      </c>
    </row>
    <row r="579">
      <c r="A579" s="2">
        <v>49</v>
      </c>
      <c r="B579">
        <v>90</v>
      </c>
      <c r="C579">
        <v>8825000</v>
      </c>
      <c r="D579">
        <v>0.0082635999999999994</v>
      </c>
    </row>
    <row r="580">
      <c r="A580" s="2">
        <v>50</v>
      </c>
      <c r="B580">
        <v>90</v>
      </c>
      <c r="C580">
        <v>10887000</v>
      </c>
      <c r="D580">
        <v>0.0082927999999999995</v>
      </c>
    </row>
    <row r="581">
      <c r="A581" s="2">
        <v>51</v>
      </c>
      <c r="B581">
        <v>90</v>
      </c>
      <c r="C581">
        <v>14128000</v>
      </c>
      <c r="D581">
        <v>0.0087649000000000008</v>
      </c>
    </row>
    <row r="582">
      <c r="A582" s="2">
        <v>52</v>
      </c>
      <c r="B582">
        <v>90</v>
      </c>
      <c r="C582">
        <v>14757800</v>
      </c>
      <c r="D582">
        <v>0.0088728000000000001</v>
      </c>
    </row>
    <row r="583">
      <c r="A583" s="2">
        <v>53</v>
      </c>
      <c r="B583">
        <v>90</v>
      </c>
      <c r="C583">
        <v>16342500</v>
      </c>
      <c r="D583">
        <v>0.0091310999999999996</v>
      </c>
    </row>
    <row r="584">
      <c r="A584" s="2">
        <v>54</v>
      </c>
      <c r="B584">
        <v>90</v>
      </c>
      <c r="C584">
        <v>17738900</v>
      </c>
      <c r="D584">
        <v>0.0092741000000000004</v>
      </c>
    </row>
    <row r="585">
      <c r="A585" s="2">
        <v>55</v>
      </c>
      <c r="B585">
        <v>90</v>
      </c>
      <c r="C585">
        <v>20088300</v>
      </c>
      <c r="D585">
        <v>0.0093977000000000002</v>
      </c>
    </row>
    <row r="586">
      <c r="A586" s="2">
        <v>56</v>
      </c>
      <c r="B586">
        <v>90</v>
      </c>
      <c r="C586">
        <v>21369200</v>
      </c>
      <c r="D586">
        <v>0.0095219999999999992</v>
      </c>
    </row>
    <row r="587">
      <c r="A587" s="2">
        <v>57</v>
      </c>
      <c r="B587">
        <v>90</v>
      </c>
      <c r="C587">
        <v>24579000</v>
      </c>
      <c r="D587">
        <v>0.0098668999999999996</v>
      </c>
    </row>
    <row r="588">
      <c r="A588" s="2">
        <v>58</v>
      </c>
      <c r="B588">
        <v>90</v>
      </c>
      <c r="C588">
        <v>24869200</v>
      </c>
      <c r="D588">
        <v>0.010122000000000001</v>
      </c>
    </row>
    <row r="589">
      <c r="A589" s="2">
        <v>59</v>
      </c>
      <c r="B589">
        <v>90</v>
      </c>
      <c r="C589">
        <v>27410000</v>
      </c>
      <c r="D589">
        <v>0.010215</v>
      </c>
    </row>
    <row r="590">
      <c r="A590" s="2">
        <v>60</v>
      </c>
      <c r="B590">
        <v>90</v>
      </c>
      <c r="C590">
        <v>29505200</v>
      </c>
      <c r="D590">
        <v>0.010722000000000001</v>
      </c>
    </row>
    <row r="591">
      <c r="A591" s="3" t="s">
        <v>46</v>
      </c>
      <c r="B591" s="3"/>
      <c r="C591" s="3"/>
      <c r="D591" s="3"/>
    </row>
    <row r="592">
      <c r="A592" s="2">
        <v>1</v>
      </c>
      <c r="B592" t="s">
        <v>64</v>
      </c>
      <c r="C592" t="s">
        <v>67</v>
      </c>
    </row>
    <row r="593">
      <c r="A593" s="2">
        <v>2</v>
      </c>
      <c r="B593" t="s">
        <v>65</v>
      </c>
      <c r="C593" t="s">
        <v>68</v>
      </c>
    </row>
    <row r="594">
      <c r="A594" s="2">
        <v>3</v>
      </c>
      <c r="B594" t="s">
        <v>40</v>
      </c>
      <c r="C594" t="s">
        <v>69</v>
      </c>
    </row>
    <row r="595">
      <c r="A595" s="3" t="s">
        <v>51</v>
      </c>
      <c r="B595" s="0"/>
      <c r="C595" s="0"/>
      <c r="D595" s="0"/>
    </row>
    <row r="596">
      <c r="A596" s="2">
        <v>1</v>
      </c>
      <c r="B596">
        <f>HYPERLINK("#Components!A1","74-98-6")</f>
      </c>
      <c r="C596" t="s">
        <v>0</v>
      </c>
    </row>
    <row r="597">
      <c r="A597" s="3" t="s">
        <v>52</v>
      </c>
      <c r="B597" s="0"/>
      <c r="C597" s="0"/>
      <c r="D597" s="0"/>
    </row>
    <row r="598">
      <c r="A598" s="2" t="s">
        <v>53</v>
      </c>
      <c r="B598" t="s">
        <v>91</v>
      </c>
    </row>
    <row r="599">
      <c r="A599" s="2" t="s">
        <v>55</v>
      </c>
      <c r="B599">
        <f>HYPERLINK("#References!A34","DELI-001940")</f>
      </c>
    </row>
  </sheetData>
  <mergeCells count="22">
    <mergeCell ref="A2:A5"/>
    <mergeCell ref="D2:E2"/>
    <mergeCell ref="D3:E3"/>
    <mergeCell ref="D5:E5"/>
    <mergeCell ref="F2:G2"/>
    <mergeCell ref="F3:G3"/>
    <mergeCell ref="F5:G5"/>
    <mergeCell ref="A364:G364"/>
    <mergeCell ref="A369:G369"/>
    <mergeCell ref="A371:G371"/>
    <mergeCell ref="A376:A379"/>
    <mergeCell ref="A462:D462"/>
    <mergeCell ref="A466:D466"/>
    <mergeCell ref="A468:D468"/>
    <mergeCell ref="A473:A476"/>
    <mergeCell ref="A516:D516"/>
    <mergeCell ref="A520:D520"/>
    <mergeCell ref="A522:D522"/>
    <mergeCell ref="A527:A530"/>
    <mergeCell ref="A591:D591"/>
    <mergeCell ref="A595:D595"/>
    <mergeCell ref="A597:D597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B6" t="s">
        <v>8</v>
      </c>
    </row>
    <row r="7">
      <c r="B7" t="s">
        <v>9</v>
      </c>
    </row>
    <row r="8">
      <c r="B8" t="s">
        <v>10</v>
      </c>
    </row>
    <row r="9">
      <c r="B9" t="s">
        <v>11</v>
      </c>
    </row>
    <row r="10">
      <c r="B1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FormatPr defaultRowHeight="15"/>
  <cols>
    <col min="1" max="2" width="20.7109375" customWidth="true"/>
  </cols>
  <sheetData>
    <row r="1">
      <c r="A1" s="1" t="s">
        <v>13</v>
      </c>
      <c r="B1" s="1"/>
      <c r="C1" s="1"/>
      <c r="D1" s="1"/>
      <c r="E1" s="1"/>
      <c r="F1" s="1"/>
      <c r="G1" s="1"/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  <row r="12">
      <c r="A12" t="s">
        <v>34</v>
      </c>
      <c r="B12">
        <f>HYPERLINK("http://dx.doi.org/10.1063/1.555596","10.1063/1.555596")</f>
      </c>
    </row>
    <row r="14">
      <c r="A14" s="1" t="s">
        <v>56</v>
      </c>
      <c r="B14" s="1"/>
      <c r="C14" s="1"/>
      <c r="D14" s="1"/>
      <c r="E14" s="1"/>
      <c r="F14" s="1"/>
      <c r="G14" s="1"/>
    </row>
    <row r="15">
      <c r="A15" t="s">
        <v>14</v>
      </c>
      <c r="B15" t="s">
        <v>57</v>
      </c>
    </row>
    <row r="16">
      <c r="A16" t="s">
        <v>16</v>
      </c>
      <c r="B16" t="s">
        <v>58</v>
      </c>
    </row>
    <row r="17">
      <c r="A17" t="s">
        <v>59</v>
      </c>
      <c r="B17" t="s">
        <v>60</v>
      </c>
    </row>
    <row r="18">
      <c r="A18" t="s">
        <v>18</v>
      </c>
      <c r="B18" t="s">
        <v>61</v>
      </c>
    </row>
    <row r="19">
      <c r="A19" t="s">
        <v>26</v>
      </c>
      <c r="B19" t="s">
        <v>62</v>
      </c>
    </row>
    <row r="20">
      <c r="A20" t="s">
        <v>28</v>
      </c>
      <c r="B20" t="s">
        <v>63</v>
      </c>
    </row>
    <row r="21">
      <c r="A21" t="s">
        <v>30</v>
      </c>
      <c r="B21" t="s">
        <v>31</v>
      </c>
    </row>
    <row r="23">
      <c r="A23" s="1" t="s">
        <v>71</v>
      </c>
      <c r="B23" s="1"/>
      <c r="C23" s="1"/>
      <c r="D23" s="1"/>
      <c r="E23" s="1"/>
      <c r="F23" s="1"/>
      <c r="G23" s="1"/>
    </row>
    <row r="24">
      <c r="A24" t="s">
        <v>14</v>
      </c>
      <c r="B24" t="s">
        <v>72</v>
      </c>
    </row>
    <row r="25">
      <c r="A25" t="s">
        <v>16</v>
      </c>
      <c r="B25" t="s">
        <v>73</v>
      </c>
    </row>
    <row r="26">
      <c r="A26" t="s">
        <v>18</v>
      </c>
      <c r="B26" t="s">
        <v>74</v>
      </c>
    </row>
    <row r="27">
      <c r="A27" t="s">
        <v>20</v>
      </c>
      <c r="B27" t="s">
        <v>75</v>
      </c>
    </row>
    <row r="28">
      <c r="A28" t="s">
        <v>22</v>
      </c>
      <c r="B28" t="s">
        <v>76</v>
      </c>
    </row>
    <row r="29">
      <c r="A29" t="s">
        <v>26</v>
      </c>
      <c r="B29" t="s">
        <v>77</v>
      </c>
    </row>
    <row r="30">
      <c r="A30" t="s">
        <v>28</v>
      </c>
      <c r="B30" t="s">
        <v>78</v>
      </c>
    </row>
    <row r="31">
      <c r="A31" t="s">
        <v>32</v>
      </c>
      <c r="B31" t="s">
        <v>79</v>
      </c>
    </row>
    <row r="32">
      <c r="A32" t="s">
        <v>34</v>
      </c>
      <c r="B32">
        <f>HYPERLINK("http://dx.doi.org/10.1016/j.molliq.2020.113208","10.1016/j.molliq.2020.113208")</f>
      </c>
    </row>
    <row r="34">
      <c r="A34" s="1" t="s">
        <v>81</v>
      </c>
      <c r="B34" s="1"/>
      <c r="C34" s="1"/>
      <c r="D34" s="1"/>
      <c r="E34" s="1"/>
      <c r="F34" s="1"/>
      <c r="G34" s="1"/>
    </row>
    <row r="35">
      <c r="A35" t="s">
        <v>14</v>
      </c>
      <c r="B35" t="s">
        <v>82</v>
      </c>
    </row>
    <row r="36">
      <c r="A36" t="s">
        <v>16</v>
      </c>
      <c r="B36" t="s">
        <v>83</v>
      </c>
    </row>
    <row r="37">
      <c r="A37" t="s">
        <v>18</v>
      </c>
      <c r="B37" t="s">
        <v>84</v>
      </c>
    </row>
    <row r="38">
      <c r="A38" t="s">
        <v>20</v>
      </c>
      <c r="B38" t="s">
        <v>85</v>
      </c>
    </row>
    <row r="39">
      <c r="A39" t="s">
        <v>22</v>
      </c>
      <c r="B39" t="s">
        <v>86</v>
      </c>
    </row>
    <row r="40">
      <c r="A40" t="s">
        <v>24</v>
      </c>
      <c r="B40" t="s">
        <v>87</v>
      </c>
    </row>
    <row r="41">
      <c r="A41" t="s">
        <v>26</v>
      </c>
      <c r="B41" t="s">
        <v>88</v>
      </c>
    </row>
    <row r="42">
      <c r="A42" t="s">
        <v>28</v>
      </c>
      <c r="B42" t="s">
        <v>89</v>
      </c>
    </row>
    <row r="43">
      <c r="A43" t="s">
        <v>30</v>
      </c>
      <c r="B43" t="s">
        <v>31</v>
      </c>
    </row>
    <row r="44">
      <c r="A44" t="s">
        <v>32</v>
      </c>
      <c r="B44" t="s">
        <v>90</v>
      </c>
    </row>
    <row r="45">
      <c r="A45" t="s">
        <v>34</v>
      </c>
      <c r="B45">
        <f>HYPERLINK("http://dx.doi.org/10.1021/je00029a003","10.1021/je00029a003")</f>
      </c>
    </row>
  </sheetData>
</worksheet>
</file>